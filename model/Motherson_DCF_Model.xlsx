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ashwatbali/Downloads/dcf motherson/"/>
    </mc:Choice>
  </mc:AlternateContent>
  <xr:revisionPtr revIDLastSave="0" documentId="13_ncr:1_{ADD74DC5-411A-6A45-A230-65072F3E169E}" xr6:coauthVersionLast="47" xr6:coauthVersionMax="47" xr10:uidLastSave="{00000000-0000-0000-0000-000000000000}"/>
  <bookViews>
    <workbookView xWindow="20220" yWindow="620" windowWidth="24580" windowHeight="22820" firstSheet="6" activeTab="15" xr2:uid="{00000000-000D-0000-FFFF-FFFF00000000}"/>
  </bookViews>
  <sheets>
    <sheet name="Cover" sheetId="1" r:id="rId1"/>
    <sheet name="Assumptions" sheetId="2" r:id="rId2"/>
    <sheet name="Historical Financials" sheetId="3" r:id="rId3"/>
    <sheet name="Income Statement" sheetId="4" r:id="rId4"/>
    <sheet name="Balance Sheet" sheetId="5" r:id="rId5"/>
    <sheet name="Cash Flow" sheetId="6" r:id="rId6"/>
    <sheet name="Operating Drivers" sheetId="7" r:id="rId7"/>
    <sheet name="Forecast" sheetId="8" r:id="rId8"/>
    <sheet name="FCFF" sheetId="9" r:id="rId9"/>
    <sheet name="WACC" sheetId="10" r:id="rId10"/>
    <sheet name="DCF" sheetId="11" r:id="rId11"/>
    <sheet name="Sensitivity" sheetId="12" r:id="rId12"/>
    <sheet name="Comparable Companies" sheetId="13" r:id="rId13"/>
    <sheet name="Scenario Analysis" sheetId="14" r:id="rId14"/>
    <sheet name="Charts Dashboard" sheetId="15" r:id="rId15"/>
    <sheet name="Sources" sheetId="16" r:id="rId16"/>
    <sheet name="Checks" sheetId="17" r:id="rId17"/>
    <sheet name="Update Log" sheetId="18" r:id="rId18"/>
  </sheets>
  <definedNames>
    <definedName name="_xlnm._FilterDatabase" localSheetId="1" hidden="1">Assumptions!$A$2:$F$25</definedName>
    <definedName name="_xlnm._FilterDatabase" localSheetId="16" hidden="1">Checks!$A$2:$D$11</definedName>
    <definedName name="_xlnm._FilterDatabase" localSheetId="12" hidden="1">'Comparable Companies'!$A$2:$H$12</definedName>
    <definedName name="_xlnm._FilterDatabase" localSheetId="7" hidden="1">Forecast!$A$2:$H$15</definedName>
    <definedName name="_xlnm._FilterDatabase" localSheetId="2" hidden="1">'Historical Financials'!$A$2:$H$20</definedName>
    <definedName name="_xlnm._FilterDatabase" localSheetId="3" hidden="1">'Income Statement'!$A$2:$H$18</definedName>
    <definedName name="_xlnm._FilterDatabase" localSheetId="15" hidden="1">Sources!$A$2:$E$17</definedName>
    <definedName name="_xlnm._FilterDatabase" localSheetId="17" hidden="1">'Update Log'!$A$1:$D$21</definedName>
    <definedName name="_xlnm._FilterDatabase" localSheetId="9" hidden="1">WACC!$A$19:$F$30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8" l="1"/>
  <c r="B7" i="15"/>
  <c r="B6" i="15"/>
  <c r="B75" i="14"/>
  <c r="B71" i="14"/>
  <c r="F63" i="14"/>
  <c r="E63" i="14"/>
  <c r="D63" i="14"/>
  <c r="C63" i="14"/>
  <c r="B63" i="14"/>
  <c r="B53" i="14"/>
  <c r="B59" i="14" s="1"/>
  <c r="B37" i="14"/>
  <c r="F35" i="14"/>
  <c r="E35" i="14"/>
  <c r="D35" i="14"/>
  <c r="C35" i="14"/>
  <c r="B35" i="14"/>
  <c r="B34" i="14"/>
  <c r="B36" i="14" s="1"/>
  <c r="B38" i="14" s="1"/>
  <c r="B39" i="14" s="1"/>
  <c r="F25" i="14"/>
  <c r="E25" i="14"/>
  <c r="D25" i="14"/>
  <c r="C25" i="14"/>
  <c r="B25" i="14"/>
  <c r="B21" i="14"/>
  <c r="B18" i="14"/>
  <c r="B15" i="14"/>
  <c r="C15" i="14" s="1"/>
  <c r="I7" i="14"/>
  <c r="F8" i="13"/>
  <c r="E8" i="13"/>
  <c r="D8" i="13"/>
  <c r="C8" i="13"/>
  <c r="B8" i="13"/>
  <c r="F3" i="13"/>
  <c r="C3" i="13"/>
  <c r="E3" i="13" s="1"/>
  <c r="I7" i="12"/>
  <c r="I6" i="12"/>
  <c r="I5" i="12"/>
  <c r="G16" i="11"/>
  <c r="G14" i="11"/>
  <c r="B5" i="17" s="1"/>
  <c r="C5" i="17" s="1"/>
  <c r="G12" i="11"/>
  <c r="G11" i="11"/>
  <c r="G7" i="11"/>
  <c r="E23" i="10"/>
  <c r="E22" i="10"/>
  <c r="E21" i="10"/>
  <c r="E24" i="10" s="1"/>
  <c r="E20" i="10"/>
  <c r="B13" i="10"/>
  <c r="B15" i="10" s="1"/>
  <c r="B12" i="10"/>
  <c r="B14" i="10" s="1"/>
  <c r="B10" i="10"/>
  <c r="B11" i="10" s="1"/>
  <c r="B9" i="10"/>
  <c r="B5" i="10"/>
  <c r="B4" i="10"/>
  <c r="B3" i="10"/>
  <c r="F7" i="9"/>
  <c r="E7" i="9"/>
  <c r="B12" i="8"/>
  <c r="G9" i="8"/>
  <c r="F9" i="8"/>
  <c r="E9" i="8"/>
  <c r="D7" i="9" s="1"/>
  <c r="D9" i="8"/>
  <c r="C7" i="9" s="1"/>
  <c r="C9" i="8"/>
  <c r="B7" i="9" s="1"/>
  <c r="B9" i="8"/>
  <c r="B6" i="8"/>
  <c r="B5" i="8"/>
  <c r="B8" i="8" s="1"/>
  <c r="B10" i="8" s="1"/>
  <c r="G4" i="8"/>
  <c r="F4" i="8"/>
  <c r="E4" i="8"/>
  <c r="D4" i="8"/>
  <c r="C4" i="8"/>
  <c r="C3" i="8"/>
  <c r="D3" i="8" s="1"/>
  <c r="G5" i="6"/>
  <c r="G10" i="5"/>
  <c r="G9" i="5"/>
  <c r="G6" i="5"/>
  <c r="F6" i="5"/>
  <c r="E6" i="5"/>
  <c r="D6" i="5"/>
  <c r="C6" i="5"/>
  <c r="B6" i="5"/>
  <c r="G8" i="4"/>
  <c r="G6" i="4"/>
  <c r="G16" i="3"/>
  <c r="F16" i="3"/>
  <c r="E16" i="3"/>
  <c r="D16" i="3"/>
  <c r="C16" i="3"/>
  <c r="B16" i="3"/>
  <c r="G6" i="3"/>
  <c r="B4" i="2"/>
  <c r="B6" i="17" s="1"/>
  <c r="C6" i="17" s="1"/>
  <c r="B11" i="1"/>
  <c r="B10" i="1"/>
  <c r="B5" i="1"/>
  <c r="D7" i="8" l="1"/>
  <c r="E3" i="8"/>
  <c r="D11" i="8"/>
  <c r="C10" i="9" s="1"/>
  <c r="D12" i="8"/>
  <c r="D13" i="8" s="1"/>
  <c r="C11" i="9" s="1"/>
  <c r="D5" i="8"/>
  <c r="C3" i="9"/>
  <c r="B3" i="9"/>
  <c r="C12" i="8"/>
  <c r="C13" i="8" s="1"/>
  <c r="B11" i="9" s="1"/>
  <c r="C5" i="8"/>
  <c r="C7" i="8"/>
  <c r="C11" i="8"/>
  <c r="B10" i="9" s="1"/>
  <c r="C21" i="14"/>
  <c r="C18" i="14"/>
  <c r="D15" i="14"/>
  <c r="C22" i="14"/>
  <c r="C23" i="14" s="1"/>
  <c r="B6" i="10"/>
  <c r="B26" i="10"/>
  <c r="B27" i="10" s="1"/>
  <c r="B16" i="2"/>
  <c r="B22" i="14"/>
  <c r="B23" i="14" s="1"/>
  <c r="B41" i="14"/>
  <c r="B42" i="14" s="1"/>
  <c r="C34" i="14"/>
  <c r="B60" i="14"/>
  <c r="B61" i="14" s="1"/>
  <c r="B40" i="14"/>
  <c r="B43" i="14" s="1"/>
  <c r="C53" i="14"/>
  <c r="B56" i="14"/>
  <c r="C15" i="18" l="1"/>
  <c r="B9" i="17"/>
  <c r="C9" i="17" s="1"/>
  <c r="B7" i="10"/>
  <c r="B8" i="10" s="1"/>
  <c r="B16" i="10" s="1"/>
  <c r="B8" i="2"/>
  <c r="I9" i="14"/>
  <c r="B74" i="14"/>
  <c r="G18" i="11"/>
  <c r="B18" i="11"/>
  <c r="C56" i="14"/>
  <c r="D53" i="14"/>
  <c r="C60" i="14"/>
  <c r="C61" i="14" s="1"/>
  <c r="C59" i="14"/>
  <c r="D6" i="8"/>
  <c r="C4" i="9"/>
  <c r="D8" i="8"/>
  <c r="C36" i="14"/>
  <c r="C40" i="14"/>
  <c r="C37" i="14"/>
  <c r="D34" i="14"/>
  <c r="C41" i="14"/>
  <c r="C42" i="14" s="1"/>
  <c r="B5" i="9"/>
  <c r="B9" i="9"/>
  <c r="D21" i="14"/>
  <c r="D18" i="14"/>
  <c r="E15" i="14"/>
  <c r="D22" i="14"/>
  <c r="D23" i="14" s="1"/>
  <c r="E11" i="8"/>
  <c r="D10" i="9" s="1"/>
  <c r="F3" i="8"/>
  <c r="E12" i="8"/>
  <c r="E13" i="8" s="1"/>
  <c r="D11" i="9" s="1"/>
  <c r="E5" i="8"/>
  <c r="D3" i="9"/>
  <c r="E7" i="8"/>
  <c r="B4" i="9"/>
  <c r="C8" i="8"/>
  <c r="C6" i="8"/>
  <c r="C5" i="9"/>
  <c r="C9" i="9"/>
  <c r="B6" i="9" l="1"/>
  <c r="C10" i="8"/>
  <c r="E21" i="14"/>
  <c r="E18" i="14"/>
  <c r="F15" i="14"/>
  <c r="E22" i="14"/>
  <c r="E23" i="14" s="1"/>
  <c r="D9" i="9"/>
  <c r="D5" i="9"/>
  <c r="E3" i="9"/>
  <c r="F12" i="8"/>
  <c r="F13" i="8" s="1"/>
  <c r="E11" i="9" s="1"/>
  <c r="F5" i="8"/>
  <c r="G3" i="8"/>
  <c r="F11" i="8"/>
  <c r="E10" i="9" s="1"/>
  <c r="F7" i="8"/>
  <c r="C16" i="14"/>
  <c r="C17" i="14" s="1"/>
  <c r="C19" i="14" s="1"/>
  <c r="C20" i="14" s="1"/>
  <c r="C24" i="14" s="1"/>
  <c r="C26" i="14" s="1"/>
  <c r="F54" i="14"/>
  <c r="B16" i="14"/>
  <c r="B17" i="14" s="1"/>
  <c r="B19" i="14" s="1"/>
  <c r="B20" i="14" s="1"/>
  <c r="B24" i="14" s="1"/>
  <c r="B26" i="14" s="1"/>
  <c r="E54" i="14"/>
  <c r="D54" i="14"/>
  <c r="D55" i="14" s="1"/>
  <c r="D57" i="14" s="1"/>
  <c r="D58" i="14" s="1"/>
  <c r="D62" i="14" s="1"/>
  <c r="D64" i="14" s="1"/>
  <c r="C54" i="14"/>
  <c r="C55" i="14" s="1"/>
  <c r="C57" i="14" s="1"/>
  <c r="C58" i="14" s="1"/>
  <c r="C62" i="14" s="1"/>
  <c r="C64" i="14" s="1"/>
  <c r="B54" i="14"/>
  <c r="B55" i="14" s="1"/>
  <c r="B57" i="14" s="1"/>
  <c r="B58" i="14" s="1"/>
  <c r="B62" i="14" s="1"/>
  <c r="B64" i="14" s="1"/>
  <c r="F16" i="14"/>
  <c r="E16" i="14"/>
  <c r="E17" i="14" s="1"/>
  <c r="E19" i="14" s="1"/>
  <c r="E20" i="14" s="1"/>
  <c r="E24" i="14" s="1"/>
  <c r="E26" i="14" s="1"/>
  <c r="D16" i="14"/>
  <c r="D17" i="14" s="1"/>
  <c r="D19" i="14" s="1"/>
  <c r="D20" i="14" s="1"/>
  <c r="D24" i="14" s="1"/>
  <c r="D26" i="14" s="1"/>
  <c r="D40" i="14"/>
  <c r="D37" i="14"/>
  <c r="E34" i="14"/>
  <c r="D41" i="14"/>
  <c r="D42" i="14" s="1"/>
  <c r="D36" i="14"/>
  <c r="D38" i="14" s="1"/>
  <c r="D39" i="14" s="1"/>
  <c r="D43" i="14" s="1"/>
  <c r="B3" i="17"/>
  <c r="C3" i="17" s="1"/>
  <c r="C12" i="14"/>
  <c r="B8" i="15"/>
  <c r="F4" i="11"/>
  <c r="E4" i="11"/>
  <c r="B4" i="11"/>
  <c r="D4" i="11"/>
  <c r="C4" i="11"/>
  <c r="E53" i="14"/>
  <c r="D60" i="14"/>
  <c r="D61" i="14" s="1"/>
  <c r="D59" i="14"/>
  <c r="D56" i="14"/>
  <c r="C38" i="14"/>
  <c r="C39" i="14" s="1"/>
  <c r="C43" i="14" s="1"/>
  <c r="E6" i="8"/>
  <c r="D4" i="9"/>
  <c r="E8" i="8"/>
  <c r="C6" i="9"/>
  <c r="D10" i="8"/>
  <c r="E37" i="14" l="1"/>
  <c r="F34" i="14"/>
  <c r="E41" i="14"/>
  <c r="E42" i="14" s="1"/>
  <c r="E36" i="14"/>
  <c r="E38" i="14" s="1"/>
  <c r="E39" i="14" s="1"/>
  <c r="E40" i="14"/>
  <c r="F44" i="14"/>
  <c r="E44" i="14"/>
  <c r="D44" i="14"/>
  <c r="C44" i="14"/>
  <c r="C45" i="14" s="1"/>
  <c r="B44" i="14"/>
  <c r="B45" i="14" s="1"/>
  <c r="E10" i="8"/>
  <c r="D6" i="9"/>
  <c r="C14" i="8"/>
  <c r="B8" i="9"/>
  <c r="E60" i="14"/>
  <c r="E61" i="14" s="1"/>
  <c r="E55" i="14"/>
  <c r="E59" i="14"/>
  <c r="E56" i="14"/>
  <c r="F53" i="14"/>
  <c r="E5" i="9"/>
  <c r="E9" i="9"/>
  <c r="D45" i="14"/>
  <c r="F21" i="14"/>
  <c r="F18" i="14"/>
  <c r="F22" i="14"/>
  <c r="F23" i="14" s="1"/>
  <c r="F17" i="14"/>
  <c r="F19" i="14" s="1"/>
  <c r="F20" i="14" s="1"/>
  <c r="G12" i="8"/>
  <c r="G13" i="8" s="1"/>
  <c r="F11" i="9" s="1"/>
  <c r="G5" i="8"/>
  <c r="F3" i="9"/>
  <c r="G7" i="8"/>
  <c r="G11" i="8"/>
  <c r="F10" i="9" s="1"/>
  <c r="E4" i="9"/>
  <c r="F8" i="8"/>
  <c r="F6" i="8"/>
  <c r="C8" i="9"/>
  <c r="D14" i="8"/>
  <c r="F41" i="14" l="1"/>
  <c r="F42" i="14" s="1"/>
  <c r="F36" i="14"/>
  <c r="F40" i="14"/>
  <c r="F37" i="14"/>
  <c r="F5" i="9"/>
  <c r="F9" i="9"/>
  <c r="C15" i="8"/>
  <c r="B12" i="9"/>
  <c r="B3" i="11" s="1"/>
  <c r="D15" i="8"/>
  <c r="C12" i="9"/>
  <c r="C3" i="11" s="1"/>
  <c r="C5" i="11" s="1"/>
  <c r="B19" i="11"/>
  <c r="B20" i="11" s="1"/>
  <c r="B21" i="11" s="1"/>
  <c r="B23" i="11"/>
  <c r="B24" i="11" s="1"/>
  <c r="B25" i="11" s="1"/>
  <c r="G6" i="8"/>
  <c r="G8" i="8"/>
  <c r="F4" i="9"/>
  <c r="F55" i="14"/>
  <c r="F57" i="14" s="1"/>
  <c r="F58" i="14" s="1"/>
  <c r="F62" i="14" s="1"/>
  <c r="F59" i="14"/>
  <c r="F56" i="14"/>
  <c r="F60" i="14"/>
  <c r="F61" i="14" s="1"/>
  <c r="F24" i="14"/>
  <c r="E43" i="14"/>
  <c r="E45" i="14" s="1"/>
  <c r="E14" i="8"/>
  <c r="D8" i="9"/>
  <c r="F10" i="8"/>
  <c r="E6" i="9"/>
  <c r="E57" i="14"/>
  <c r="E58" i="14" s="1"/>
  <c r="E62" i="14" s="1"/>
  <c r="E64" i="14" s="1"/>
  <c r="E8" i="9" l="1"/>
  <c r="F14" i="8"/>
  <c r="F64" i="14"/>
  <c r="I52" i="14"/>
  <c r="I53" i="14"/>
  <c r="I54" i="14" s="1"/>
  <c r="I55" i="14" s="1"/>
  <c r="I56" i="14" s="1"/>
  <c r="I57" i="14" s="1"/>
  <c r="I6" i="14" s="1"/>
  <c r="I14" i="14"/>
  <c r="I15" i="14"/>
  <c r="I16" i="14" s="1"/>
  <c r="F26" i="14"/>
  <c r="B5" i="11"/>
  <c r="D12" i="9"/>
  <c r="D3" i="11" s="1"/>
  <c r="D5" i="11" s="1"/>
  <c r="E15" i="8"/>
  <c r="F38" i="14"/>
  <c r="F39" i="14" s="1"/>
  <c r="F43" i="14" s="1"/>
  <c r="F6" i="9"/>
  <c r="G10" i="8"/>
  <c r="I34" i="14" l="1"/>
  <c r="I35" i="14" s="1"/>
  <c r="F45" i="14"/>
  <c r="I33" i="14"/>
  <c r="E12" i="9"/>
  <c r="E3" i="11" s="1"/>
  <c r="F15" i="8"/>
  <c r="G14" i="8"/>
  <c r="F8" i="9"/>
  <c r="I17" i="14"/>
  <c r="I18" i="14" s="1"/>
  <c r="I19" i="14" s="1"/>
  <c r="I4" i="14" s="1"/>
  <c r="E5" i="11" l="1"/>
  <c r="G15" i="8"/>
  <c r="F12" i="9"/>
  <c r="F3" i="11" s="1"/>
  <c r="F6" i="12" s="1"/>
  <c r="I36" i="14"/>
  <c r="I37" i="14" s="1"/>
  <c r="I38" i="14" s="1"/>
  <c r="F5" i="12" l="1"/>
  <c r="F7" i="12"/>
  <c r="B4" i="12"/>
  <c r="B6" i="12"/>
  <c r="C8" i="12"/>
  <c r="F4" i="12"/>
  <c r="I5" i="14"/>
  <c r="E5" i="12"/>
  <c r="E7" i="12"/>
  <c r="E6" i="12"/>
  <c r="G8" i="11"/>
  <c r="G9" i="11" s="1"/>
  <c r="F5" i="11"/>
  <c r="F8" i="12"/>
  <c r="D8" i="12"/>
  <c r="B8" i="12"/>
  <c r="D4" i="12"/>
  <c r="C4" i="12"/>
  <c r="B5" i="12"/>
  <c r="E4" i="12"/>
  <c r="C7" i="12"/>
  <c r="B7" i="12"/>
  <c r="E8" i="12"/>
  <c r="D7" i="12"/>
  <c r="C5" i="12"/>
  <c r="C6" i="12"/>
  <c r="D6" i="12"/>
  <c r="D5" i="12"/>
  <c r="B7" i="17" l="1"/>
  <c r="C7" i="17" s="1"/>
  <c r="G10" i="11"/>
  <c r="B8" i="1" l="1"/>
  <c r="G13" i="11"/>
  <c r="B4" i="17"/>
  <c r="C4" i="17" s="1"/>
  <c r="G15" i="11" l="1"/>
  <c r="B9" i="1"/>
  <c r="B72" i="14" l="1"/>
  <c r="B73" i="14" s="1"/>
  <c r="B10" i="17"/>
  <c r="C10" i="17" s="1"/>
  <c r="B5" i="15"/>
  <c r="G17" i="11"/>
  <c r="I8" i="14" s="1"/>
  <c r="B7" i="1"/>
  <c r="I4" i="12"/>
  <c r="B6" i="1"/>
  <c r="B11" i="17"/>
  <c r="C11" i="17" s="1"/>
</calcChain>
</file>

<file path=xl/sharedStrings.xml><?xml version="1.0" encoding="utf-8"?>
<sst xmlns="http://schemas.openxmlformats.org/spreadsheetml/2006/main" count="791" uniqueCount="457">
  <si>
    <t>Samvardhana Motherson International Ltd — DCF Valuation</t>
  </si>
  <si>
    <t>Professional Equity Research / Investment Banking Style Model</t>
  </si>
  <si>
    <t>Valuation date</t>
  </si>
  <si>
    <t>10-Sep-2026</t>
  </si>
  <si>
    <t>Project architecture</t>
  </si>
  <si>
    <t>Latest trading price (₹/share)</t>
  </si>
  <si>
    <t>Historical financials</t>
  </si>
  <si>
    <t>6 years of selected consolidated data</t>
  </si>
  <si>
    <t>Base-case intrinsic value (₹/share)</t>
  </si>
  <si>
    <t>Forecast</t>
  </si>
  <si>
    <t>5-year explicit FCFF forecast</t>
  </si>
  <si>
    <t>Upside / (downside)</t>
  </si>
  <si>
    <t>WACC</t>
  </si>
  <si>
    <t>CAPM + peer-derived bottom-up beta</t>
  </si>
  <si>
    <t>Base-case enterprise value (₹ crore)</t>
  </si>
  <si>
    <t>Valuation</t>
  </si>
  <si>
    <t>Perpetuity-growth DCF + exit-multiple cross-check</t>
  </si>
  <si>
    <t>Base-case equity value (₹ crore)</t>
  </si>
  <si>
    <t>Scenarios</t>
  </si>
  <si>
    <t>Dynamic bear / base / bull</t>
  </si>
  <si>
    <t>Bull value (₹/share)</t>
  </si>
  <si>
    <t>Cross-checks</t>
  </si>
  <si>
    <t>Trading comparables + market-implied expectations</t>
  </si>
  <si>
    <t>Bear value (₹/share)</t>
  </si>
  <si>
    <t>Interpretation</t>
  </si>
  <si>
    <t>Base DCF is below the market price because the market is valuing Motherson on stronger long-term growth/margin execution and a materially higher implied operating multiple than the base-case DCF.</t>
  </si>
  <si>
    <t>Key Assumptions — Samvardhana Motherson International Ltd</t>
  </si>
  <si>
    <t>Item</t>
  </si>
  <si>
    <t>Value</t>
  </si>
  <si>
    <t>Units</t>
  </si>
  <si>
    <t>Type</t>
  </si>
  <si>
    <t>Rationale</t>
  </si>
  <si>
    <t>Source / note</t>
  </si>
  <si>
    <t>Current share price</t>
  </si>
  <si>
    <t>₹/share</t>
  </si>
  <si>
    <t>Input</t>
  </si>
  <si>
    <t>Observed close used for market-value checks</t>
  </si>
  <si>
    <t>StockAnalysis / FT, NSE MOTHERSON close/intraday snapshot, 10-Sep-2026</t>
  </si>
  <si>
    <t>Current market cap</t>
  </si>
  <si>
    <t>₹ crore</t>
  </si>
  <si>
    <t>Calculated</t>
  </si>
  <si>
    <t>Market value used for capital structure</t>
  </si>
  <si>
    <t>Calculated from share price × diluted shares</t>
  </si>
  <si>
    <t>Risk-free rate</t>
  </si>
  <si>
    <t>%</t>
  </si>
  <si>
    <t>India 10Y government bond yield</t>
  </si>
  <si>
    <t>India 10Y government bond yield, 9-Sep-2026 close / 10-Sep-2026 snapshot</t>
  </si>
  <si>
    <t>Observed equity beta</t>
  </si>
  <si>
    <t>x</t>
  </si>
  <si>
    <t>Market-data beta cross-check</t>
  </si>
  <si>
    <t>FT market-data beta, 10-Sep-2026 snapshot; cross-check only</t>
  </si>
  <si>
    <t>India equity risk premium</t>
  </si>
  <si>
    <t>Current country ERP / total equity risk premium</t>
  </si>
  <si>
    <t>Damodaran current India ERP dataset; refresh before publication</t>
  </si>
  <si>
    <t>Bottom-up beta used</t>
  </si>
  <si>
    <t>Peer-derived median unlevered beta, relevered to Motherson market D/E</t>
  </si>
  <si>
    <t>See WACC peer build</t>
  </si>
  <si>
    <t>Pre-tax cost of debt</t>
  </si>
  <si>
    <t>Analyst assumption</t>
  </si>
  <si>
    <t>Anchored to investment-grade / AAA ratings</t>
  </si>
  <si>
    <t>Analyst assumption anchored to investment-grade borrowing economics</t>
  </si>
  <si>
    <t>Normalized tax rate</t>
  </si>
  <si>
    <t>Normalized forecast effective rate</t>
  </si>
  <si>
    <t>Terminal growth</t>
  </si>
  <si>
    <t>Mature long-run nominal growth, below WACC</t>
  </si>
  <si>
    <t>Long-run nominal growth assumption; sensitivity tested</t>
  </si>
  <si>
    <t>D&amp;A / revenue</t>
  </si>
  <si>
    <t>Asset intensity stays broadly stable</t>
  </si>
  <si>
    <t>Forecast assumption</t>
  </si>
  <si>
    <t>CapEx / revenue</t>
  </si>
  <si>
    <t>Maintenance + growth investment</t>
  </si>
  <si>
    <t>Forecast assumption; FY27 guidance is ~₹6,000cr ±10%</t>
  </si>
  <si>
    <t>NWC / revenue</t>
  </si>
  <si>
    <t>Explicit operating working-capital driver</t>
  </si>
  <si>
    <t>Diluted shares outstanding</t>
  </si>
  <si>
    <t>crore</t>
  </si>
  <si>
    <t>Used consistently for market cap and per-share valuation</t>
  </si>
  <si>
    <t>Market-implied EV / FY26 EBITDA</t>
  </si>
  <si>
    <t>Calculated from market cap + FY26 borrowings − FY26 cash, divided by FY26 EBITDA</t>
  </si>
  <si>
    <t>Year</t>
  </si>
  <si>
    <t>FY27E</t>
  </si>
  <si>
    <t>FY28E</t>
  </si>
  <si>
    <t>FY29E</t>
  </si>
  <si>
    <t>FY30E</t>
  </si>
  <si>
    <t>FY31E</t>
  </si>
  <si>
    <t>Base Forecast Inputs</t>
  </si>
  <si>
    <t>Revenue growth</t>
  </si>
  <si>
    <t>EBITDA margin</t>
  </si>
  <si>
    <t>Historical Financials — Consolidated ₹ crore</t>
  </si>
  <si>
    <t>Metric</t>
  </si>
  <si>
    <t>FY21</t>
  </si>
  <si>
    <t>FY22</t>
  </si>
  <si>
    <t>FY23</t>
  </si>
  <si>
    <t>FY24</t>
  </si>
  <si>
    <t>FY25</t>
  </si>
  <si>
    <t>FY26</t>
  </si>
  <si>
    <t>Revenue</t>
  </si>
  <si>
    <t>Screener / FY26 official results</t>
  </si>
  <si>
    <t>EBITDA / operating profit proxy</t>
  </si>
  <si>
    <t>Motherson FY26 results presentation / audited results</t>
  </si>
  <si>
    <t>PAT</t>
  </si>
  <si>
    <t>EPS (₹)</t>
  </si>
  <si>
    <t>Operating cash flow</t>
  </si>
  <si>
    <t>FY26 official results / cash-flow statement</t>
  </si>
  <si>
    <t>CapEx</t>
  </si>
  <si>
    <t>Cash outflow proxy; FY26 official</t>
  </si>
  <si>
    <t>Trade receivables</t>
  </si>
  <si>
    <t>Moneycontrol FY21-FY25; FY26 official</t>
  </si>
  <si>
    <t>Inventory</t>
  </si>
  <si>
    <t>Trade payables</t>
  </si>
  <si>
    <t>Total borrowings</t>
  </si>
  <si>
    <t>Cash &amp; equivalents</t>
  </si>
  <si>
    <t>FY26 audited balance sheet</t>
  </si>
  <si>
    <t>Net working capital</t>
  </si>
  <si>
    <t>Operating NWC = trade receivables + inventory - trade payables</t>
  </si>
  <si>
    <t>Income Statement — Historical ₹ crore</t>
  </si>
  <si>
    <t>Comment</t>
  </si>
  <si>
    <t>Revenue accelerated materially through FY24-FY26</t>
  </si>
  <si>
    <t>Growth includes acquisitions and mix</t>
  </si>
  <si>
    <t>EBITDA</t>
  </si>
  <si>
    <t>Reported consolidated EBITDA per FY26 results presentation</t>
  </si>
  <si>
    <t>Margin improved from ~7% to ~10%</t>
  </si>
  <si>
    <t>D&amp;A</t>
  </si>
  <si>
    <t>FY26 D&amp;A = depreciation ₹4,469.57cr + amortisation ₹664.28cr</t>
  </si>
  <si>
    <t>EBIT</t>
  </si>
  <si>
    <t>EBIT = reported EBITDA less D&amp;A</t>
  </si>
  <si>
    <t>PBT</t>
  </si>
  <si>
    <t>Reported / rounded</t>
  </si>
  <si>
    <t>Tax</t>
  </si>
  <si>
    <t>Reported where available</t>
  </si>
  <si>
    <t>Normalization</t>
  </si>
  <si>
    <t>Balance Sheet / Working Capital — Selected Items ₹ crore</t>
  </si>
  <si>
    <t>NWC</t>
  </si>
  <si>
    <t>AR + inventory - AP</t>
  </si>
  <si>
    <t>FY26 official</t>
  </si>
  <si>
    <t>Cash</t>
  </si>
  <si>
    <t>Net debt</t>
  </si>
  <si>
    <t>Borrowings less cash</t>
  </si>
  <si>
    <t>Debt / EBITDA</t>
  </si>
  <si>
    <t>Latest-year leverage check</t>
  </si>
  <si>
    <t>Current ratio</t>
  </si>
  <si>
    <t>DSO (days)</t>
  </si>
  <si>
    <t>AR / revenue × 365</t>
  </si>
  <si>
    <t>DIO (days)</t>
  </si>
  <si>
    <t>Inventory / revenue × 365</t>
  </si>
  <si>
    <t>DPO (days)</t>
  </si>
  <si>
    <t>AP / revenue × 365</t>
  </si>
  <si>
    <t>Working-capital interpretation</t>
  </si>
  <si>
    <t>Receivables and inventory have grown with the business; payables also provide a meaningful operating funding source.</t>
  </si>
  <si>
    <t>The forecast uses explicit NWC/revenue assumptions rather than a blind percentage-of-sales plug.</t>
  </si>
  <si>
    <t>Cash Flow — Historical ₹ crore</t>
  </si>
  <si>
    <t>FY26 official results</t>
  </si>
  <si>
    <t>PPE/intangible cash outflow proxy</t>
  </si>
  <si>
    <t>OCF less CapEx</t>
  </si>
  <si>
    <t>Cash-flow proxy, not FCFF</t>
  </si>
  <si>
    <t>Net financing cash flow</t>
  </si>
  <si>
    <t>OCF / PAT</t>
  </si>
  <si>
    <t>Cash conversion</t>
  </si>
  <si>
    <t>Cash-flow interpretation</t>
  </si>
  <si>
    <t>Cash generation improved materially versus the weak FY22 year, but reinvestment and working-capital intensity make reported OCF a poor substitute for FCFF in a forward DCF.</t>
  </si>
  <si>
    <t>FCFF therefore starts from EBIT/NOPAT, adds non-cash D&amp;A, and subtracts CapEx plus change in NWC.</t>
  </si>
  <si>
    <t>This separation is important because financing flows are not part of operating FCFF.</t>
  </si>
  <si>
    <t>Operating Drivers — Historical &amp; Forecast</t>
  </si>
  <si>
    <t>Driver</t>
  </si>
  <si>
    <t>Forecast rationale</t>
  </si>
  <si>
    <t>Base case tapers to 7% by FY31E</t>
  </si>
  <si>
    <t>Modest expansion to 11.0%</t>
  </si>
  <si>
    <t>Forecast 3.7%</t>
  </si>
  <si>
    <t>Forecast 4.5%</t>
  </si>
  <si>
    <t>Forecast 3.5%</t>
  </si>
  <si>
    <t>Driver logic</t>
  </si>
  <si>
    <t>Margin</t>
  </si>
  <si>
    <t>Working capital</t>
  </si>
  <si>
    <t>5-Year Operating Forecast — Base Case ₹ crore</t>
  </si>
  <si>
    <t>FY26A</t>
  </si>
  <si>
    <t>Formula / rationale</t>
  </si>
  <si>
    <t>FY26A reported EBITDA; forecast uses explicit EBITDA-margin assumptions</t>
  </si>
  <si>
    <t>FY26 actual D&amp;A from audited consolidated results</t>
  </si>
  <si>
    <t>Tax rate</t>
  </si>
  <si>
    <t>NOPAT</t>
  </si>
  <si>
    <t>Cash outflow proxy; FY27 capex guidance ~₹6,000cr ±10%</t>
  </si>
  <si>
    <t>FY26A operating NWC; forecast NWC = % of revenue</t>
  </si>
  <si>
    <t>Change in NWC</t>
  </si>
  <si>
    <t>FCFF</t>
  </si>
  <si>
    <t>FCFF margin</t>
  </si>
  <si>
    <t>FCFF Build — Base Case ₹ crore</t>
  </si>
  <si>
    <t>Bridge</t>
  </si>
  <si>
    <t>Definition</t>
  </si>
  <si>
    <t>+ D&amp;A</t>
  </si>
  <si>
    <t>- CapEx</t>
  </si>
  <si>
    <t>- Change in NWC</t>
  </si>
  <si>
    <t>FCFF formula</t>
  </si>
  <si>
    <t>Why FCFF</t>
  </si>
  <si>
    <t>Financing consistency</t>
  </si>
  <si>
    <t>Terminal check</t>
  </si>
  <si>
    <t>WACC — First Principles + Peer-Derived Bottom-Up Beta</t>
  </si>
  <si>
    <t>Formula / approach</t>
  </si>
  <si>
    <t>10Y India government yield</t>
  </si>
  <si>
    <t>India 10Y government yield, 9-Sep-2026</t>
  </si>
  <si>
    <t>Observed beta</t>
  </si>
  <si>
    <t>Market beta</t>
  </si>
  <si>
    <t>Observed market beta cross-check; FT, 10-Sep-2026</t>
  </si>
  <si>
    <t>Equity risk premium</t>
  </si>
  <si>
    <t>India ERP</t>
  </si>
  <si>
    <t>Damodaran India ERP</t>
  </si>
  <si>
    <t>Observed CAPM cost of equity</t>
  </si>
  <si>
    <t>Rf + observed beta × ERP</t>
  </si>
  <si>
    <t>Observed-beta CAPM cross-check</t>
  </si>
  <si>
    <t>Peer-derived unlevered beta</t>
  </si>
  <si>
    <t>Median of peer unlevered betas</t>
  </si>
  <si>
    <t>Analyst normalization; not a sourced market fact</t>
  </si>
  <si>
    <t>Primary cost of equity</t>
  </si>
  <si>
    <t>Rf + bottom-up beta × ERP</t>
  </si>
  <si>
    <t>Primary WACC input</t>
  </si>
  <si>
    <t>Borrowing economics</t>
  </si>
  <si>
    <t>Ratings + borrowing profile</t>
  </si>
  <si>
    <t>Normalized</t>
  </si>
  <si>
    <t>Assumption</t>
  </si>
  <si>
    <t>After-tax cost of debt</t>
  </si>
  <si>
    <t>Kd × (1-tax)</t>
  </si>
  <si>
    <t>Market equity</t>
  </si>
  <si>
    <t>Market equity at 10-Sep-2026 price</t>
  </si>
  <si>
    <t>Debt</t>
  </si>
  <si>
    <t>Borrowings excluding leases</t>
  </si>
  <si>
    <t>FY26 borrowings; linked to Historical Financials</t>
  </si>
  <si>
    <t>Equity weight</t>
  </si>
  <si>
    <t>E/(D+E)</t>
  </si>
  <si>
    <t>Debt weight</t>
  </si>
  <si>
    <t>D/(D+E)</t>
  </si>
  <si>
    <t>E wt × CoE + D wt × Kd × (1-tax)</t>
  </si>
  <si>
    <t>Primary discount rate</t>
  </si>
  <si>
    <t>WACC judgment</t>
  </si>
  <si>
    <t>Peer</t>
  </si>
  <si>
    <t>Levered beta</t>
  </si>
  <si>
    <t>Debt/Equity</t>
  </si>
  <si>
    <t>Unlevered beta</t>
  </si>
  <si>
    <t>Source</t>
  </si>
  <si>
    <t>Uno Minda</t>
  </si>
  <si>
    <t>FT Sep-9-2026 beta; StockAnalysis FY26 D/E</t>
  </si>
  <si>
    <t>Aptiv</t>
  </si>
  <si>
    <t>StockAnalysis Sep-9-2026 beta; FY26/current D/E</t>
  </si>
  <si>
    <t>Lear</t>
  </si>
  <si>
    <t>StockAnalysis Sep-4/10-2026 beta; current D/E and effective tax</t>
  </si>
  <si>
    <t>Forvia</t>
  </si>
  <si>
    <t>StockAnalysis Sep-4-2026 beta; current D/E</t>
  </si>
  <si>
    <t>Median</t>
  </si>
  <si>
    <t>Motherson market D/E</t>
  </si>
  <si>
    <t>Debt / market equity</t>
  </si>
  <si>
    <t>Relevered bottom-up beta</t>
  </si>
  <si>
    <t>Median unlevered beta × [1 + (1-tax) × Motherson D/E]</t>
  </si>
  <si>
    <t>Method note</t>
  </si>
  <si>
    <t>Peer betas are unlevered using Hamada-style adjustment and relevered to Motherson's market-value D/E. This replaces the prior 0.85 analyst assumption.</t>
  </si>
  <si>
    <t>DCF Valuation — Base Case ₹ crore except per share</t>
  </si>
  <si>
    <t>Output</t>
  </si>
  <si>
    <t>Discount factor</t>
  </si>
  <si>
    <t>PV of FCFF</t>
  </si>
  <si>
    <t>Terminal value</t>
  </si>
  <si>
    <t>PV of terminal value</t>
  </si>
  <si>
    <t>Enterprise value</t>
  </si>
  <si>
    <t>Less: debt</t>
  </si>
  <si>
    <t>Add: cash</t>
  </si>
  <si>
    <t>Equity value</t>
  </si>
  <si>
    <t>Shares outstanding (crore)</t>
  </si>
  <si>
    <t>Intrinsic value / share</t>
  </si>
  <si>
    <t>Market price</t>
  </si>
  <si>
    <t>DCF discount / (premium) to market</t>
  </si>
  <si>
    <t>Market-implied multiple at valuation date; cross-check only</t>
  </si>
  <si>
    <t>Base DCF uses a lower sustainable operating valuation than the market-implied FY26 multiple; the gap is an expectations / execution issue, not a model error.</t>
  </si>
  <si>
    <t>Terminal EV</t>
  </si>
  <si>
    <t>Exit multiple cross-check</t>
  </si>
  <si>
    <t>Non-primary sanity check only</t>
  </si>
  <si>
    <t>Exit EBITDA multiple</t>
  </si>
  <si>
    <t>Illustrative exit EBITDA multiple; analyst cross-check only</t>
  </si>
  <si>
    <t>Terminal EBITDA</t>
  </si>
  <si>
    <t>Implied equity value / share</t>
  </si>
  <si>
    <t>DCF Sensitivity — Intrinsic Value / Share (₹)</t>
  </si>
  <si>
    <t>WACC \ Terminal g</t>
  </si>
  <si>
    <t>Reference</t>
  </si>
  <si>
    <t>Base case</t>
  </si>
  <si>
    <t>Bear reference</t>
  </si>
  <si>
    <t>Bull reference</t>
  </si>
  <si>
    <t>Current market price</t>
  </si>
  <si>
    <t>Read-through</t>
  </si>
  <si>
    <t>Sensitivity correctly recalculates explicit FCFF PV and terminal value at each WACC / g combination.</t>
  </si>
  <si>
    <t>Comparable Companies — Valuation Cross-Check</t>
  </si>
  <si>
    <t>Company</t>
  </si>
  <si>
    <t>Market cap</t>
  </si>
  <si>
    <t>EV</t>
  </si>
  <si>
    <t>P/E</t>
  </si>
  <si>
    <t>EV/Revenue</t>
  </si>
  <si>
    <t>EV/EBITDA</t>
  </si>
  <si>
    <t>Why comparable</t>
  </si>
  <si>
    <t>Motherson</t>
  </si>
  <si>
    <t>Subject company; global diversified auto supplier</t>
  </si>
  <si>
    <t>Market cap linked to Assumptions; EV = market cap + debt − cash</t>
  </si>
  <si>
    <t>Indian auto-components benchmark; growth / OEM exposure</t>
  </si>
  <si>
    <t>INR crore; StockAnalysis, Sep 8-9 2026</t>
  </si>
  <si>
    <t>Global auto-components / cockpit / electronics exposure</t>
  </si>
  <si>
    <t>Converted from EUR using ECB Sep 8 2026 EUR/INR 110.1315</t>
  </si>
  <si>
    <t>Global electrical architecture / software supplier</t>
  </si>
  <si>
    <t>Converted from USD; StockAnalysis Sep 8 2026</t>
  </si>
  <si>
    <t>Seating / E-systems</t>
  </si>
  <si>
    <t>Converted from USD; StockAnalysis Sep 9 2026</t>
  </si>
  <si>
    <t>Peer median</t>
  </si>
  <si>
    <t>Operating peer median</t>
  </si>
  <si>
    <t>Calculated from displayed peers</t>
  </si>
  <si>
    <t>Comparable-company method</t>
  </si>
  <si>
    <t>EV/EBITDA is the primary operating multiple; P/E is secondary.</t>
  </si>
  <si>
    <t>All displayed valuation amounts are normalized to INR crore; source markets may be EUR/USD.</t>
  </si>
  <si>
    <t>Peers are a cross-check, not a replacement for the FCFF DCF; refresh market data before publication.</t>
  </si>
  <si>
    <t>Scenario Analysis — Dynamic Bear / Base / Bull</t>
  </si>
  <si>
    <t>Bear</t>
  </si>
  <si>
    <t>Base</t>
  </si>
  <si>
    <t>Bull</t>
  </si>
  <si>
    <t>FY27 revenue growth</t>
  </si>
  <si>
    <t>Bear slows; base uses existing case; bull assumes stronger program wins / mix</t>
  </si>
  <si>
    <t>Scenario summary</t>
  </si>
  <si>
    <t>FY28 revenue growth</t>
  </si>
  <si>
    <t>Bear value / share</t>
  </si>
  <si>
    <t>FY29 revenue growth</t>
  </si>
  <si>
    <t>Base value / share</t>
  </si>
  <si>
    <t>FY30 revenue growth</t>
  </si>
  <si>
    <t>Bull value / share</t>
  </si>
  <si>
    <t>FY31 revenue growth</t>
  </si>
  <si>
    <t>Current price</t>
  </si>
  <si>
    <t>FY31 EBITDA margin</t>
  </si>
  <si>
    <t>Bear modest margin recovery; bull stronger operating leverage</t>
  </si>
  <si>
    <t>Base DCF discount to market</t>
  </si>
  <si>
    <t>Market EV / FY26 EBITDA</t>
  </si>
  <si>
    <t>Bear: slower growth, lower margins, higher reinvestment and WACC</t>
  </si>
  <si>
    <t>Bear higher risk; base peer-derived WACC; bull lower discount rate</t>
  </si>
  <si>
    <t>Base: existing operating forecast + peer-derived WACC</t>
  </si>
  <si>
    <t>Bear Case Build</t>
  </si>
  <si>
    <t>Bull: stronger growth, margins and reinvestment efficiency</t>
  </si>
  <si>
    <t>FY31 FCFF</t>
  </si>
  <si>
    <t>PV terminal value</t>
  </si>
  <si>
    <t>Base Case Build</t>
  </si>
  <si>
    <t>Valuation outputs</t>
  </si>
  <si>
    <t>Bull Case Build</t>
  </si>
  <si>
    <t>Market comparison</t>
  </si>
  <si>
    <t>Base DCF</t>
  </si>
  <si>
    <t>Premium of market to base DCF</t>
  </si>
  <si>
    <t>Base terminal EBITDA multiple</t>
  </si>
  <si>
    <t>Market price requires materially higher cash-flow generation, a lower risk discount rate, higher terminal growth and/or a higher sustainable operating multiple than the base DCF.</t>
  </si>
  <si>
    <t>Charts &amp; Dashboard — Motherson DCF</t>
  </si>
  <si>
    <t>KPI</t>
  </si>
  <si>
    <t>Market reference</t>
  </si>
  <si>
    <t>DCF base value</t>
  </si>
  <si>
    <t>Conservative intrinsic estimate</t>
  </si>
  <si>
    <t>Bull value</t>
  </si>
  <si>
    <t>Optimistic but disciplined</t>
  </si>
  <si>
    <t>Bear value</t>
  </si>
  <si>
    <t>Downside scenario</t>
  </si>
  <si>
    <t>Base WACC</t>
  </si>
  <si>
    <t>Source Log — Data Dates Aligned to 10-Sep-2026</t>
  </si>
  <si>
    <t>Document / page</t>
  </si>
  <si>
    <t>Date</t>
  </si>
  <si>
    <t>Use in model</t>
  </si>
  <si>
    <t>Link / identifier</t>
  </si>
  <si>
    <t>Samvardhana Motherson International Ltd</t>
  </si>
  <si>
    <t>FY26 audited consolidated financial results</t>
  </si>
  <si>
    <t>20-May-2026</t>
  </si>
  <si>
    <t>FY26 revenue, EBITDA, PAT, D&amp;A, cash, borrowings, working capital, CFO, CapEx</t>
  </si>
  <si>
    <t>motherson.com / NSE filing</t>
  </si>
  <si>
    <t>FY26 results presentation</t>
  </si>
  <si>
    <t>FY26 reported EBITDA ₹12,033cr and revenue ₹126,104cr</t>
  </si>
  <si>
    <t>motherson.com</t>
  </si>
  <si>
    <t>NSE India</t>
  </si>
  <si>
    <t>Integrated Filing — IndAS, FY26 audited</t>
  </si>
  <si>
    <t>Audited consolidated financial statement reference</t>
  </si>
  <si>
    <t>nseindia.com</t>
  </si>
  <si>
    <t>StockAnalysis / FT</t>
  </si>
  <si>
    <t>MOTHERSON market data</t>
  </si>
  <si>
    <t>Share price ₹162.71; market valuation / beta cross-check</t>
  </si>
  <si>
    <t>stockanalysis.com / markets.ft.com</t>
  </si>
  <si>
    <t>Reuters / Investing.com</t>
  </si>
  <si>
    <t>09-10-Sep-2026</t>
  </si>
  <si>
    <t>Risk-free rate ~6.96%</t>
  </si>
  <si>
    <t>reuters.com / investing.com</t>
  </si>
  <si>
    <t>Aswath Damodaran / NYU</t>
  </si>
  <si>
    <t>Country risk premium dataset</t>
  </si>
  <si>
    <t>Current Sep-2026</t>
  </si>
  <si>
    <t>pages.stern.nyu.edu</t>
  </si>
  <si>
    <t>FT / StockAnalysis</t>
  </si>
  <si>
    <t>09-Sep-2026</t>
  </si>
  <si>
    <t>Peer beta / D-E for bottom-up beta</t>
  </si>
  <si>
    <t>markets.ft.com / stockanalysis.com</t>
  </si>
  <si>
    <t>StockAnalysis</t>
  </si>
  <si>
    <t>stockanalysis.com</t>
  </si>
  <si>
    <t>04-10-Sep-2026</t>
  </si>
  <si>
    <t>Peer beta / D-E / tax for bottom-up beta</t>
  </si>
  <si>
    <t>04-Sep-2026</t>
  </si>
  <si>
    <t>Model Integrity Checks</t>
  </si>
  <si>
    <t>Check</t>
  </si>
  <si>
    <t>Result</t>
  </si>
  <si>
    <t>Status</t>
  </si>
  <si>
    <t>Terminal growth &lt; WACC</t>
  </si>
  <si>
    <t>4.0% &lt; ~12.5%</t>
  </si>
  <si>
    <t>EV less debt plus cash equals equity</t>
  </si>
  <si>
    <t>DCF bridge</t>
  </si>
  <si>
    <t>Shares outstanding &gt; 0</t>
  </si>
  <si>
    <t>Derived from market cap / price</t>
  </si>
  <si>
    <t>Debt / cash consistency</t>
  </si>
  <si>
    <t>Market cap equals price × shares outstanding</t>
  </si>
  <si>
    <t>Sensitivity values finite</t>
  </si>
  <si>
    <t>All WACC/g cells populated</t>
  </si>
  <si>
    <t>Historical balance-sheet full-check</t>
  </si>
  <si>
    <t>N/A</t>
  </si>
  <si>
    <t>LIMITATION</t>
  </si>
  <si>
    <t>Workbook uses selected operating items rather than a full 3-statement balance sheet</t>
  </si>
  <si>
    <t>Bottom-up beta</t>
  </si>
  <si>
    <t>Base DCF market-price bridge</t>
  </si>
  <si>
    <t>Intrinsic value per share less current price</t>
  </si>
  <si>
    <t>Base scenario ties to DCF</t>
  </si>
  <si>
    <t>Scenario base value should equal primary DCF</t>
  </si>
  <si>
    <t>Correction</t>
  </si>
  <si>
    <t>Old</t>
  </si>
  <si>
    <t>Updated</t>
  </si>
  <si>
    <t>FY26 cash &amp; equivalents</t>
  </si>
  <si>
    <t>Fixed</t>
  </si>
  <si>
    <t>FY26 operating cash flow</t>
  </si>
  <si>
    <t>FY26 reported EBITDA</t>
  </si>
  <si>
    <t>FY26 operating NWC</t>
  </si>
  <si>
    <t>Uno Minda market cap (₹ crore)</t>
  </si>
  <si>
    <t>Uno Minda EV (₹ crore)</t>
  </si>
  <si>
    <t>Primary beta</t>
  </si>
  <si>
    <t>Retained but explicitly labelled analyst assumption</t>
  </si>
  <si>
    <t>Retained; explicitly labelled analyst assumption</t>
  </si>
  <si>
    <t>Primary-looking output</t>
  </si>
  <si>
    <t>Non-primary sanity check</t>
  </si>
  <si>
    <t>Clarified</t>
  </si>
  <si>
    <t>FY26 EBITDA</t>
  </si>
  <si>
    <t>FY26 D&amp;A</t>
  </si>
  <si>
    <t>Market price / cap</t>
  </si>
  <si>
    <t>Updated to 10-Sep-2026 snapshot and linked to shares</t>
  </si>
  <si>
    <t>Replaced analyst-only beta with peer-derived bottom-up beta</t>
  </si>
  <si>
    <t>Scenario Analysis</t>
  </si>
  <si>
    <t>Hardcoded outputs</t>
  </si>
  <si>
    <t>Dynamic forecast / DCF</t>
  </si>
  <si>
    <t>Rebuilt</t>
  </si>
  <si>
    <t>Sensitivity table</t>
  </si>
  <si>
    <t>Used base-WACC PV of FCFF inside every sensitivity cell</t>
  </si>
  <si>
    <t>Each cell now recalculates explicit FCFF PV and terminal value using its row WACC</t>
  </si>
  <si>
    <t>Debt / cash / EBITDA partly hardcoded</t>
  </si>
  <si>
    <t>Linked to audited FY26 borrowings, cash and EBITDA</t>
  </si>
  <si>
    <t>Comparable companies</t>
  </si>
  <si>
    <t>Motherson EV and EV/EBITDA not calculated</t>
  </si>
  <si>
    <t>Linked dynamically; peer median added</t>
  </si>
  <si>
    <t>Enhanced</t>
  </si>
  <si>
    <t>Model integrity checks</t>
  </si>
  <si>
    <t>Several PASS labels were hardcoded</t>
  </si>
  <si>
    <t>Status fields now evaluate formulas</t>
  </si>
  <si>
    <t>WACC debt</t>
  </si>
  <si>
    <t>FY26 borrowings hardcoded in WACC</t>
  </si>
  <si>
    <t>Linked to Historical Financials FY26 borrowings</t>
  </si>
  <si>
    <t>FY26 includes a reported exceptional consolidated expense of ₹414 crore. No adjustment is made to the base case, as the forecast starts from reported FY26 operating economics and does not assume this item is recurring.</t>
  </si>
  <si>
    <t>Financing costs are excluded from FCFF and reflected through WACC to avoid double counting.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</si>
</sst>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\₹#,##0.0"/>
    <numFmt numFmtId="166" formatCode="0.0%"/>
    <numFmt numFmtId="167" formatCode="0.0\x;[Red]\(0.0&quot;x)&quot;;\-"/>
    <numFmt numFmtId="168" formatCode="0.0\x"/>
    <numFmt numFmtId="169" formatCode="0.0%;[Red]\(0.0%\);\-"/>
    <numFmt numFmtId="170" formatCode="#,##0.0;[Red]\(#,##0.0\);\-"/>
    <numFmt numFmtId="171" formatCode="\₹#,##0.0;[Red]&quot;(₹&quot;#,##0.0\);\-"/>
    <numFmt numFmtId="172" formatCode="0.00\x"/>
    <numFmt numFmtId="173" formatCode="#,##0.0"/>
    <numFmt numFmtId="174" formatCode="\₹0.00"/>
  </numFmts>
  <fonts count="15" x14ac:knownFonts="1">
    <font>
      <sz val="10"/>
      <name val="Arial"/>
      <family val="2"/>
      <charset val="1"/>
    </font>
    <font>
      <b/>
      <sz val="15"/>
      <color rgb="FFFFFFFF"/>
      <name val="Aptos Display"/>
      <charset val="1"/>
    </font>
    <font>
      <i/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sz val="11"/>
      <color rgb="FF17365D"/>
      <name val="Cambria"/>
      <family val="1"/>
    </font>
    <font>
      <b/>
      <sz val="10"/>
      <color rgb="FFFFFFFF"/>
      <name val="Aptos"/>
    </font>
    <font>
      <b/>
      <sz val="11"/>
      <color rgb="FFFFFFFF"/>
      <name val="Cambria"/>
      <family val="1"/>
    </font>
    <font>
      <sz val="11"/>
      <name val="Calibri"/>
      <family val="2"/>
    </font>
    <font>
      <sz val="11"/>
      <color rgb="FF008000"/>
      <name val="Calibri"/>
      <family val="2"/>
    </font>
    <font>
      <i/>
      <sz val="11"/>
      <color rgb="FF666666"/>
      <name val="Cambria"/>
      <family val="1"/>
    </font>
    <font>
      <b/>
      <sz val="10"/>
      <color rgb="FF17365D"/>
      <name val="Cambria"/>
      <family val="1"/>
    </font>
    <font>
      <b/>
      <sz val="12"/>
      <color rgb="FF17365D"/>
      <name val="Cambria"/>
      <family val="1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1F4E78"/>
        <bgColor rgb="FF156082"/>
      </patternFill>
    </fill>
    <fill>
      <patternFill patternType="solid">
        <fgColor rgb="FFE7E6E6"/>
        <bgColor rgb="FFE2F0D9"/>
      </patternFill>
    </fill>
    <fill>
      <patternFill patternType="solid">
        <fgColor rgb="FF5B9BD5"/>
        <bgColor rgb="FF8B8B8B"/>
      </patternFill>
    </fill>
    <fill>
      <patternFill patternType="solid">
        <fgColor theme="8" tint="-0.249977111117893"/>
        <bgColor rgb="FF333333"/>
      </patternFill>
    </fill>
    <fill>
      <patternFill patternType="solid">
        <fgColor theme="0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166" fontId="4" fillId="0" borderId="0" xfId="0" applyNumberFormat="1" applyFont="1" applyAlignment="1">
      <alignment vertical="center" wrapText="1"/>
    </xf>
    <xf numFmtId="167" fontId="4" fillId="0" borderId="0" xfId="0" applyNumberFormat="1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8" fillId="5" borderId="0" xfId="0" applyFont="1" applyFill="1" applyAlignment="1">
      <alignment vertical="center" wrapText="1"/>
    </xf>
    <xf numFmtId="166" fontId="0" fillId="0" borderId="0" xfId="0" applyNumberFormat="1" applyAlignment="1">
      <alignment vertical="center" wrapText="1"/>
    </xf>
    <xf numFmtId="170" fontId="9" fillId="0" borderId="0" xfId="0" applyNumberFormat="1" applyFont="1" applyAlignment="1">
      <alignment vertical="center" wrapText="1"/>
    </xf>
    <xf numFmtId="170" fontId="10" fillId="0" borderId="0" xfId="0" applyNumberFormat="1" applyFont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166" fontId="10" fillId="0" borderId="0" xfId="0" applyNumberFormat="1" applyFont="1" applyAlignment="1">
      <alignment vertical="center" wrapText="1"/>
    </xf>
    <xf numFmtId="169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71" fontId="9" fillId="0" borderId="0" xfId="0" applyNumberFormat="1" applyFont="1" applyAlignment="1">
      <alignment vertical="center" wrapText="1"/>
    </xf>
    <xf numFmtId="167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172" fontId="9" fillId="0" borderId="0" xfId="0" applyNumberFormat="1" applyFont="1" applyAlignment="1">
      <alignment vertical="center" wrapText="1"/>
    </xf>
    <xf numFmtId="170" fontId="4" fillId="0" borderId="0" xfId="0" applyNumberFormat="1" applyFont="1" applyAlignment="1">
      <alignment vertical="center" wrapText="1"/>
    </xf>
    <xf numFmtId="169" fontId="4" fillId="0" borderId="0" xfId="0" applyNumberFormat="1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173" fontId="0" fillId="0" borderId="0" xfId="0" applyNumberFormat="1" applyAlignment="1">
      <alignment vertical="center" wrapText="1"/>
    </xf>
    <xf numFmtId="170" fontId="12" fillId="3" borderId="0" xfId="0" applyNumberFormat="1" applyFont="1" applyFill="1" applyAlignment="1">
      <alignment vertical="center" wrapText="1"/>
    </xf>
    <xf numFmtId="165" fontId="13" fillId="4" borderId="0" xfId="0" applyNumberFormat="1" applyFont="1" applyFill="1" applyAlignment="1">
      <alignment vertical="center" wrapText="1"/>
    </xf>
    <xf numFmtId="166" fontId="12" fillId="3" borderId="0" xfId="0" applyNumberFormat="1" applyFont="1" applyFill="1" applyAlignment="1">
      <alignment vertical="center" wrapText="1"/>
    </xf>
    <xf numFmtId="168" fontId="6" fillId="3" borderId="0" xfId="0" applyNumberFormat="1" applyFont="1" applyFill="1" applyAlignment="1">
      <alignment vertical="center" wrapText="1"/>
    </xf>
    <xf numFmtId="173" fontId="6" fillId="3" borderId="0" xfId="0" applyNumberFormat="1" applyFont="1" applyFill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170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3" fillId="6" borderId="0" xfId="0" applyNumberFormat="1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166" fontId="6" fillId="3" borderId="0" xfId="0" applyNumberFormat="1" applyFont="1" applyFill="1" applyAlignment="1">
      <alignment vertical="center" wrapText="1"/>
    </xf>
    <xf numFmtId="16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74" fontId="0" fillId="0" borderId="0" xfId="0" applyNumberFormat="1" applyAlignment="1">
      <alignment vertical="center" wrapText="1"/>
    </xf>
    <xf numFmtId="0" fontId="0" fillId="0" borderId="0" xfId="0" applyAlignment="1"/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0" fontId="1" fillId="8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8" fillId="5" borderId="0" xfId="0" applyFont="1" applyFill="1" applyAlignment="1">
      <alignment vertical="center"/>
    </xf>
    <xf numFmtId="169" fontId="7" fillId="5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69" fontId="14" fillId="5" borderId="0" xfId="0" applyNumberFormat="1" applyFont="1" applyFill="1" applyAlignment="1">
      <alignment vertical="center"/>
    </xf>
    <xf numFmtId="170" fontId="9" fillId="0" borderId="0" xfId="0" applyNumberFormat="1" applyFont="1" applyAlignment="1">
      <alignment vertical="center"/>
    </xf>
    <xf numFmtId="170" fontId="10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5" fillId="9" borderId="0" xfId="0" applyFont="1" applyFill="1" applyAlignment="1">
      <alignment vertical="center"/>
    </xf>
    <xf numFmtId="171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8" fontId="9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7B7B7"/>
      <rgbColor rgb="FF8B8B8B"/>
      <rgbColor rgb="FF5B9BD5"/>
      <rgbColor rgb="FFA02B93"/>
      <rgbColor rgb="FFFCE4D6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F9ED5"/>
      <rgbColor rgb="FFE7E6E6"/>
      <rgbColor rgb="FFE2F0D9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97132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showGridLines="0" zoomScale="115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5" sqref="E25"/>
    </sheetView>
  </sheetViews>
  <sheetFormatPr baseColWidth="10" defaultColWidth="8.6640625" defaultRowHeight="15" customHeight="1" x14ac:dyDescent="0.15"/>
  <cols>
    <col min="1" max="1" width="57.1640625" style="41" customWidth="1"/>
    <col min="2" max="2" width="44.1640625" style="41" customWidth="1"/>
    <col min="3" max="3" width="10" style="41" customWidth="1"/>
    <col min="4" max="4" width="37.5" style="41" customWidth="1"/>
    <col min="5" max="5" width="24.5" style="41" customWidth="1"/>
    <col min="6" max="6" width="38" style="41" customWidth="1"/>
    <col min="7" max="8" width="10" style="41" customWidth="1"/>
    <col min="9" max="16384" width="8.6640625" style="41"/>
  </cols>
  <sheetData>
    <row r="1" spans="1:8" ht="25.5" customHeight="1" x14ac:dyDescent="0.15">
      <c r="A1" s="50" t="s">
        <v>0</v>
      </c>
      <c r="B1" s="50"/>
      <c r="C1" s="50"/>
      <c r="D1" s="50"/>
      <c r="E1" s="50"/>
      <c r="F1" s="50"/>
      <c r="G1" s="50"/>
      <c r="H1" s="50"/>
    </row>
    <row r="2" spans="1:8" ht="15" customHeight="1" x14ac:dyDescent="0.15">
      <c r="A2" s="42" t="s">
        <v>1</v>
      </c>
      <c r="B2" s="43"/>
      <c r="C2" s="43"/>
      <c r="D2" s="43"/>
      <c r="E2" s="43"/>
      <c r="F2" s="43"/>
      <c r="G2" s="43"/>
      <c r="H2" s="43"/>
    </row>
    <row r="3" spans="1:8" ht="15" customHeight="1" x14ac:dyDescent="0.15">
      <c r="A3" s="43"/>
      <c r="B3" s="43"/>
      <c r="C3" s="43"/>
      <c r="D3" s="43"/>
      <c r="E3" s="43"/>
      <c r="F3" s="43"/>
      <c r="G3" s="43"/>
      <c r="H3" s="43"/>
    </row>
    <row r="4" spans="1:8" ht="15" customHeight="1" x14ac:dyDescent="0.15">
      <c r="A4" t="s">
        <v>2</v>
      </c>
      <c r="B4" s="45" t="s">
        <v>3</v>
      </c>
      <c r="C4" s="43"/>
      <c r="D4" s="51" t="s">
        <v>4</v>
      </c>
      <c r="E4" s="43" t="s">
        <v>4</v>
      </c>
      <c r="F4" s="43"/>
      <c r="G4" s="43"/>
      <c r="H4" s="43"/>
    </row>
    <row r="5" spans="1:8" ht="15" customHeight="1" x14ac:dyDescent="0.15">
      <c r="A5" t="s">
        <v>5</v>
      </c>
      <c r="B5" s="47">
        <f>Assumptions!B3</f>
        <v>162.71</v>
      </c>
      <c r="C5" s="43"/>
      <c r="D5" s="44" t="s">
        <v>6</v>
      </c>
      <c r="E5" s="43" t="s">
        <v>6</v>
      </c>
      <c r="F5" s="43" t="s">
        <v>7</v>
      </c>
      <c r="G5" s="43"/>
      <c r="H5" s="43"/>
    </row>
    <row r="6" spans="1:8" ht="15" customHeight="1" x14ac:dyDescent="0.15">
      <c r="A6" t="s">
        <v>8</v>
      </c>
      <c r="B6" s="48">
        <f>DCF!G15</f>
        <v>62.433452489044974</v>
      </c>
      <c r="C6" s="43"/>
      <c r="D6" s="44" t="s">
        <v>9</v>
      </c>
      <c r="E6" s="43" t="s">
        <v>9</v>
      </c>
      <c r="F6" s="43" t="s">
        <v>10</v>
      </c>
      <c r="G6" s="43"/>
      <c r="H6" s="43"/>
    </row>
    <row r="7" spans="1:8" ht="15" customHeight="1" x14ac:dyDescent="0.15">
      <c r="A7" t="s">
        <v>11</v>
      </c>
      <c r="B7" s="49">
        <f>DCF!G15/Assumptions!B3-1</f>
        <v>-0.61629000990077454</v>
      </c>
      <c r="C7" s="43"/>
      <c r="D7" s="44" t="s">
        <v>12</v>
      </c>
      <c r="E7" s="43" t="s">
        <v>12</v>
      </c>
      <c r="F7" s="43" t="s">
        <v>13</v>
      </c>
      <c r="G7" s="43"/>
      <c r="H7" s="43"/>
    </row>
    <row r="8" spans="1:8" ht="15" customHeight="1" x14ac:dyDescent="0.15">
      <c r="A8" t="s">
        <v>14</v>
      </c>
      <c r="B8" s="49">
        <f>DCF!G10</f>
        <v>74274.029067788579</v>
      </c>
      <c r="C8" s="43"/>
      <c r="D8" s="44" t="s">
        <v>15</v>
      </c>
      <c r="E8" s="43" t="s">
        <v>15</v>
      </c>
      <c r="F8" s="43" t="s">
        <v>16</v>
      </c>
      <c r="G8" s="43"/>
      <c r="H8" s="43"/>
    </row>
    <row r="9" spans="1:8" ht="15" customHeight="1" x14ac:dyDescent="0.15">
      <c r="A9" t="s">
        <v>17</v>
      </c>
      <c r="B9" s="47">
        <f>DCF!G13</f>
        <v>65895.029067788579</v>
      </c>
      <c r="C9" s="43"/>
      <c r="D9" s="44" t="s">
        <v>18</v>
      </c>
      <c r="E9" s="43" t="s">
        <v>18</v>
      </c>
      <c r="F9" s="43" t="s">
        <v>19</v>
      </c>
      <c r="G9" s="43"/>
      <c r="H9" s="43"/>
    </row>
    <row r="10" spans="1:8" ht="15" customHeight="1" x14ac:dyDescent="0.15">
      <c r="A10" t="s">
        <v>20</v>
      </c>
      <c r="B10" s="48">
        <f>'Scenario Analysis'!D8</f>
        <v>0.11700000000000001</v>
      </c>
      <c r="C10" s="43"/>
      <c r="D10" s="44" t="s">
        <v>21</v>
      </c>
      <c r="E10" s="43" t="s">
        <v>21</v>
      </c>
      <c r="F10" s="43" t="s">
        <v>22</v>
      </c>
      <c r="G10" s="43"/>
      <c r="H10" s="43"/>
    </row>
    <row r="11" spans="1:8" ht="15" customHeight="1" x14ac:dyDescent="0.15">
      <c r="A11" t="s">
        <v>23</v>
      </c>
      <c r="B11" s="49">
        <f>'Scenario Analysis'!B8</f>
        <v>9.8000000000000004E-2</v>
      </c>
      <c r="C11" s="43"/>
      <c r="D11" s="43"/>
      <c r="E11" s="43"/>
      <c r="F11" s="43"/>
      <c r="G11" s="43"/>
      <c r="H11" s="43"/>
    </row>
    <row r="12" spans="1:8" ht="15" customHeight="1" x14ac:dyDescent="0.15">
      <c r="A12" t="s">
        <v>24</v>
      </c>
      <c r="B12" s="43" t="s">
        <v>25</v>
      </c>
      <c r="C12" s="43"/>
      <c r="D12" s="43"/>
      <c r="E12" s="43"/>
      <c r="F12" s="43"/>
      <c r="G12" s="43"/>
      <c r="H12" s="43"/>
    </row>
  </sheetData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5"/>
  <sheetViews>
    <sheetView showGridLines="0" zoomScale="162" zoomScaleNormal="162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32" sqref="B32"/>
    </sheetView>
  </sheetViews>
  <sheetFormatPr baseColWidth="10" defaultColWidth="8.6640625" defaultRowHeight="15" customHeight="1" x14ac:dyDescent="0.15"/>
  <cols>
    <col min="1" max="1" width="33.6640625" style="41" customWidth="1"/>
    <col min="2" max="2" width="18" style="41" customWidth="1"/>
    <col min="3" max="3" width="14" style="41" customWidth="1"/>
    <col min="4" max="4" width="18" style="41" customWidth="1"/>
    <col min="5" max="5" width="57.6640625" style="41" customWidth="1"/>
    <col min="6" max="6" width="75.83203125" style="41" customWidth="1"/>
    <col min="7" max="16384" width="8.6640625" style="41"/>
  </cols>
  <sheetData>
    <row r="1" spans="1:6" ht="25.5" customHeight="1" x14ac:dyDescent="0.15">
      <c r="A1" s="2" t="s">
        <v>26</v>
      </c>
      <c r="B1" s="2"/>
      <c r="C1" s="2"/>
      <c r="D1" s="2"/>
      <c r="E1" s="2"/>
      <c r="F1" s="2"/>
    </row>
    <row r="2" spans="1:6" ht="15" customHeight="1" x14ac:dyDescent="0.15">
      <c r="A2" s="52" t="s">
        <v>27</v>
      </c>
      <c r="B2" s="52" t="s">
        <v>28</v>
      </c>
      <c r="C2" s="52" t="s">
        <v>29</v>
      </c>
      <c r="D2" s="52" t="s">
        <v>30</v>
      </c>
      <c r="E2" s="52" t="s">
        <v>31</v>
      </c>
      <c r="F2" s="52" t="s">
        <v>32</v>
      </c>
    </row>
    <row r="3" spans="1:6" ht="15" customHeight="1" x14ac:dyDescent="0.15">
      <c r="A3" s="43" t="s">
        <v>33</v>
      </c>
      <c r="B3" s="53">
        <v>162.71</v>
      </c>
      <c r="C3" s="43" t="s">
        <v>34</v>
      </c>
      <c r="D3" s="43" t="s">
        <v>35</v>
      </c>
      <c r="E3" s="43" t="s">
        <v>36</v>
      </c>
      <c r="F3" s="43" t="s">
        <v>37</v>
      </c>
    </row>
    <row r="4" spans="1:6" ht="15" customHeight="1" x14ac:dyDescent="0.15">
      <c r="A4" s="43" t="s">
        <v>38</v>
      </c>
      <c r="B4" s="53">
        <f>B3*B15</f>
        <v>171731.33556087103</v>
      </c>
      <c r="C4" s="43" t="s">
        <v>39</v>
      </c>
      <c r="D4" s="43" t="s">
        <v>40</v>
      </c>
      <c r="E4" s="43" t="s">
        <v>41</v>
      </c>
      <c r="F4" s="43" t="s">
        <v>42</v>
      </c>
    </row>
    <row r="5" spans="1:6" ht="15" customHeight="1" x14ac:dyDescent="0.15">
      <c r="A5" s="43" t="s">
        <v>43</v>
      </c>
      <c r="B5" s="54">
        <v>6.9620000000000001E-2</v>
      </c>
      <c r="C5" s="43" t="s">
        <v>44</v>
      </c>
      <c r="D5" s="43" t="s">
        <v>35</v>
      </c>
      <c r="E5" s="43" t="s">
        <v>45</v>
      </c>
      <c r="F5" s="43" t="s">
        <v>46</v>
      </c>
    </row>
    <row r="6" spans="1:6" ht="15" customHeight="1" x14ac:dyDescent="0.15">
      <c r="A6" s="43" t="s">
        <v>47</v>
      </c>
      <c r="B6" s="55">
        <v>1.4615</v>
      </c>
      <c r="C6" s="43" t="s">
        <v>48</v>
      </c>
      <c r="D6" s="43" t="s">
        <v>35</v>
      </c>
      <c r="E6" s="43" t="s">
        <v>49</v>
      </c>
      <c r="F6" s="43" t="s">
        <v>50</v>
      </c>
    </row>
    <row r="7" spans="1:6" ht="15" customHeight="1" x14ac:dyDescent="0.15">
      <c r="A7" s="43" t="s">
        <v>51</v>
      </c>
      <c r="B7" s="54">
        <v>7.2700000000000001E-2</v>
      </c>
      <c r="C7" s="43" t="s">
        <v>44</v>
      </c>
      <c r="D7" s="43" t="s">
        <v>35</v>
      </c>
      <c r="E7" s="43" t="s">
        <v>52</v>
      </c>
      <c r="F7" s="43" t="s">
        <v>53</v>
      </c>
    </row>
    <row r="8" spans="1:6" ht="15" customHeight="1" x14ac:dyDescent="0.15">
      <c r="A8" s="43" t="s">
        <v>54</v>
      </c>
      <c r="B8" s="54">
        <f>WACC!B27</f>
        <v>0.91882647868838052</v>
      </c>
      <c r="C8" s="43" t="s">
        <v>48</v>
      </c>
      <c r="D8" s="43" t="s">
        <v>40</v>
      </c>
      <c r="E8" s="43" t="s">
        <v>55</v>
      </c>
      <c r="F8" s="43" t="s">
        <v>56</v>
      </c>
    </row>
    <row r="9" spans="1:6" ht="15" customHeight="1" x14ac:dyDescent="0.15">
      <c r="A9" s="43" t="s">
        <v>57</v>
      </c>
      <c r="B9" s="54">
        <v>7.4999999999999997E-2</v>
      </c>
      <c r="C9" s="43" t="s">
        <v>44</v>
      </c>
      <c r="D9" s="43" t="s">
        <v>58</v>
      </c>
      <c r="E9" s="43" t="s">
        <v>59</v>
      </c>
      <c r="F9" s="43" t="s">
        <v>60</v>
      </c>
    </row>
    <row r="10" spans="1:6" ht="15" customHeight="1" x14ac:dyDescent="0.15">
      <c r="A10" s="43" t="s">
        <v>61</v>
      </c>
      <c r="B10" s="54">
        <v>0.27400000000000002</v>
      </c>
      <c r="C10" s="43" t="s">
        <v>44</v>
      </c>
      <c r="D10" s="43" t="s">
        <v>58</v>
      </c>
      <c r="E10" s="43" t="s">
        <v>62</v>
      </c>
      <c r="F10" s="43" t="s">
        <v>62</v>
      </c>
    </row>
    <row r="11" spans="1:6" ht="15" customHeight="1" x14ac:dyDescent="0.15">
      <c r="A11" s="43" t="s">
        <v>63</v>
      </c>
      <c r="B11" s="54">
        <v>0.04</v>
      </c>
      <c r="C11" s="43" t="s">
        <v>44</v>
      </c>
      <c r="D11" s="43" t="s">
        <v>58</v>
      </c>
      <c r="E11" s="43" t="s">
        <v>64</v>
      </c>
      <c r="F11" s="43" t="s">
        <v>65</v>
      </c>
    </row>
    <row r="12" spans="1:6" ht="15" customHeight="1" x14ac:dyDescent="0.15">
      <c r="A12" s="43" t="s">
        <v>66</v>
      </c>
      <c r="B12" s="54">
        <v>3.6999999999999998E-2</v>
      </c>
      <c r="C12" s="43" t="s">
        <v>44</v>
      </c>
      <c r="D12" s="43" t="s">
        <v>58</v>
      </c>
      <c r="E12" s="43" t="s">
        <v>67</v>
      </c>
      <c r="F12" s="43" t="s">
        <v>68</v>
      </c>
    </row>
    <row r="13" spans="1:6" ht="15" customHeight="1" x14ac:dyDescent="0.15">
      <c r="A13" s="43" t="s">
        <v>69</v>
      </c>
      <c r="B13" s="54">
        <v>4.4999999999999998E-2</v>
      </c>
      <c r="C13" s="43" t="s">
        <v>44</v>
      </c>
      <c r="D13" s="43" t="s">
        <v>58</v>
      </c>
      <c r="E13" s="43" t="s">
        <v>70</v>
      </c>
      <c r="F13" s="43" t="s">
        <v>71</v>
      </c>
    </row>
    <row r="14" spans="1:6" ht="15" customHeight="1" x14ac:dyDescent="0.15">
      <c r="A14" s="43" t="s">
        <v>72</v>
      </c>
      <c r="B14" s="54">
        <v>3.5000000000000003E-2</v>
      </c>
      <c r="C14" s="43" t="s">
        <v>44</v>
      </c>
      <c r="D14" s="43" t="s">
        <v>58</v>
      </c>
      <c r="E14" s="43" t="s">
        <v>73</v>
      </c>
      <c r="F14" s="43" t="s">
        <v>68</v>
      </c>
    </row>
    <row r="15" spans="1:6" ht="23.25" customHeight="1" x14ac:dyDescent="0.15">
      <c r="A15" s="43" t="s">
        <v>74</v>
      </c>
      <c r="B15" s="56">
        <v>1055.4442601000001</v>
      </c>
      <c r="C15" s="43" t="s">
        <v>75</v>
      </c>
      <c r="D15" s="43"/>
      <c r="E15" s="43"/>
      <c r="F15" s="43" t="s">
        <v>76</v>
      </c>
    </row>
    <row r="16" spans="1:6" ht="15" customHeight="1" x14ac:dyDescent="0.15">
      <c r="A16" s="46" t="s">
        <v>77</v>
      </c>
      <c r="B16" s="57">
        <f>('Historical Financials'!G14+B4-'Historical Financials'!G15)/'Historical Financials'!G5</f>
        <v>14.968032540585973</v>
      </c>
      <c r="C16" s="43" t="s">
        <v>48</v>
      </c>
      <c r="D16" s="43"/>
      <c r="E16" s="43"/>
      <c r="F16" s="43" t="s">
        <v>78</v>
      </c>
    </row>
    <row r="17" spans="1:6" ht="15" customHeight="1" x14ac:dyDescent="0.15">
      <c r="A17" s="52" t="s">
        <v>79</v>
      </c>
      <c r="B17" s="52" t="s">
        <v>80</v>
      </c>
      <c r="C17" s="52" t="s">
        <v>81</v>
      </c>
      <c r="D17" s="52" t="s">
        <v>82</v>
      </c>
      <c r="E17" s="52" t="s">
        <v>83</v>
      </c>
      <c r="F17" s="52" t="s">
        <v>84</v>
      </c>
    </row>
    <row r="18" spans="1:6" ht="15" customHeight="1" x14ac:dyDescent="0.15">
      <c r="A18" s="58" t="s">
        <v>85</v>
      </c>
      <c r="B18" s="61">
        <v>0.1</v>
      </c>
      <c r="C18" s="61">
        <v>0.1</v>
      </c>
      <c r="D18" s="61">
        <v>0.09</v>
      </c>
      <c r="E18" s="61">
        <v>0.08</v>
      </c>
      <c r="F18" s="61">
        <v>7.0000000000000007E-2</v>
      </c>
    </row>
    <row r="19" spans="1:6" ht="15" customHeight="1" x14ac:dyDescent="0.15">
      <c r="A19" s="52" t="s">
        <v>79</v>
      </c>
      <c r="B19" s="59" t="s">
        <v>80</v>
      </c>
      <c r="C19" s="59" t="s">
        <v>81</v>
      </c>
      <c r="D19" s="59" t="s">
        <v>82</v>
      </c>
      <c r="E19" s="59" t="s">
        <v>83</v>
      </c>
      <c r="F19" s="59" t="s">
        <v>84</v>
      </c>
    </row>
    <row r="20" spans="1:6" ht="15" customHeight="1" x14ac:dyDescent="0.15">
      <c r="A20" s="43" t="s">
        <v>86</v>
      </c>
      <c r="B20" s="54">
        <v>0.1</v>
      </c>
      <c r="C20" s="54">
        <v>0.1</v>
      </c>
      <c r="D20" s="54">
        <v>0.09</v>
      </c>
      <c r="E20" s="54">
        <v>0.08</v>
      </c>
      <c r="F20" s="54">
        <v>7.0000000000000007E-2</v>
      </c>
    </row>
    <row r="21" spans="1:6" ht="15" customHeight="1" x14ac:dyDescent="0.15">
      <c r="A21" s="43" t="s">
        <v>87</v>
      </c>
      <c r="B21" s="54">
        <v>0.10199999999999999</v>
      </c>
      <c r="C21" s="54">
        <v>0.104</v>
      </c>
      <c r="D21" s="54">
        <v>0.106</v>
      </c>
      <c r="E21" s="54">
        <v>0.108</v>
      </c>
      <c r="F21" s="54">
        <v>0.11</v>
      </c>
    </row>
    <row r="22" spans="1:6" ht="15" customHeight="1" x14ac:dyDescent="0.15">
      <c r="A22" s="43" t="s">
        <v>66</v>
      </c>
      <c r="B22" s="54">
        <v>3.6999999999999998E-2</v>
      </c>
      <c r="C22" s="54">
        <v>3.6999999999999998E-2</v>
      </c>
      <c r="D22" s="54">
        <v>3.6999999999999998E-2</v>
      </c>
      <c r="E22" s="54">
        <v>3.6999999999999998E-2</v>
      </c>
      <c r="F22" s="54">
        <v>3.6999999999999998E-2</v>
      </c>
    </row>
    <row r="23" spans="1:6" ht="15" customHeight="1" x14ac:dyDescent="0.15">
      <c r="A23" s="43" t="s">
        <v>69</v>
      </c>
      <c r="B23" s="54">
        <v>4.4999999999999998E-2</v>
      </c>
      <c r="C23" s="54">
        <v>4.4999999999999998E-2</v>
      </c>
      <c r="D23" s="54">
        <v>4.4999999999999998E-2</v>
      </c>
      <c r="E23" s="54">
        <v>4.4999999999999998E-2</v>
      </c>
      <c r="F23" s="54">
        <v>4.4999999999999998E-2</v>
      </c>
    </row>
    <row r="24" spans="1:6" ht="15" customHeight="1" x14ac:dyDescent="0.15">
      <c r="A24" s="43" t="s">
        <v>72</v>
      </c>
      <c r="B24" s="60">
        <v>3.5000000000000003E-2</v>
      </c>
      <c r="C24" s="60">
        <v>3.5000000000000003E-2</v>
      </c>
      <c r="D24" s="60">
        <v>3.5000000000000003E-2</v>
      </c>
      <c r="E24" s="60">
        <v>3.5000000000000003E-2</v>
      </c>
      <c r="F24" s="60">
        <v>3.5000000000000003E-2</v>
      </c>
    </row>
    <row r="25" spans="1:6" ht="15" customHeight="1" x14ac:dyDescent="0.15">
      <c r="A25" s="43" t="s">
        <v>63</v>
      </c>
      <c r="B25" s="60">
        <v>0.04</v>
      </c>
      <c r="C25" s="60">
        <v>0.04</v>
      </c>
      <c r="D25" s="60">
        <v>0.04</v>
      </c>
      <c r="E25" s="60">
        <v>0.04</v>
      </c>
      <c r="F25" s="60">
        <v>0.04</v>
      </c>
    </row>
  </sheetData>
  <autoFilter ref="A2:F25" xr:uid="{00000000-0009-0000-0000-000001000000}"/>
  <mergeCells count="1">
    <mergeCell ref="A1:F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"/>
  <sheetViews>
    <sheetView showGridLines="0"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2" sqref="C22"/>
    </sheetView>
  </sheetViews>
  <sheetFormatPr baseColWidth="10" defaultColWidth="8.6640625" defaultRowHeight="15" customHeight="1" x14ac:dyDescent="0.15"/>
  <cols>
    <col min="1" max="1" width="30" style="41" customWidth="1"/>
    <col min="2" max="7" width="14" style="41" customWidth="1"/>
    <col min="8" max="8" width="38" style="41" customWidth="1"/>
    <col min="9" max="16384" width="8.6640625" style="41"/>
  </cols>
  <sheetData>
    <row r="1" spans="1:8" ht="25.5" customHeight="1" x14ac:dyDescent="0.15">
      <c r="A1" s="2" t="s">
        <v>88</v>
      </c>
      <c r="B1" s="2"/>
      <c r="C1" s="2"/>
      <c r="D1" s="2"/>
      <c r="E1" s="2"/>
      <c r="F1" s="2"/>
      <c r="G1" s="2"/>
      <c r="H1" s="2"/>
    </row>
    <row r="2" spans="1:8" ht="15" customHeight="1" x14ac:dyDescent="0.15">
      <c r="A2" s="52" t="s">
        <v>89</v>
      </c>
      <c r="B2" s="52" t="s">
        <v>90</v>
      </c>
      <c r="C2" s="52" t="s">
        <v>91</v>
      </c>
      <c r="D2" s="52" t="s">
        <v>92</v>
      </c>
      <c r="E2" s="52" t="s">
        <v>93</v>
      </c>
      <c r="F2" s="52" t="s">
        <v>94</v>
      </c>
      <c r="G2" s="52" t="s">
        <v>95</v>
      </c>
      <c r="H2" s="52" t="s">
        <v>32</v>
      </c>
    </row>
    <row r="3" spans="1:8" ht="15" customHeight="1" x14ac:dyDescent="0.15">
      <c r="A3" s="43" t="s">
        <v>96</v>
      </c>
      <c r="B3" s="62">
        <v>57370</v>
      </c>
      <c r="C3" s="62">
        <v>63536</v>
      </c>
      <c r="D3" s="62">
        <v>78701</v>
      </c>
      <c r="E3" s="62">
        <v>98692</v>
      </c>
      <c r="F3" s="62">
        <v>113663</v>
      </c>
      <c r="G3" s="63">
        <v>126104</v>
      </c>
      <c r="H3" s="43" t="s">
        <v>97</v>
      </c>
    </row>
    <row r="4" spans="1:8" ht="15" customHeight="1" x14ac:dyDescent="0.15">
      <c r="A4" s="43" t="s">
        <v>86</v>
      </c>
      <c r="B4" s="64"/>
      <c r="C4" s="64">
        <v>0.1075</v>
      </c>
      <c r="D4" s="64">
        <v>8.1299999999999997E-2</v>
      </c>
      <c r="E4" s="64">
        <v>0.25359999999999999</v>
      </c>
      <c r="F4" s="64">
        <v>0.1517</v>
      </c>
      <c r="G4" s="65">
        <v>0.1094</v>
      </c>
      <c r="H4" s="43" t="s">
        <v>40</v>
      </c>
    </row>
    <row r="5" spans="1:8" ht="15" customHeight="1" x14ac:dyDescent="0.15">
      <c r="A5" s="43" t="s">
        <v>98</v>
      </c>
      <c r="B5" s="62">
        <v>4370</v>
      </c>
      <c r="C5" s="62">
        <v>4476</v>
      </c>
      <c r="D5" s="62">
        <v>6164</v>
      </c>
      <c r="E5" s="62">
        <v>9322</v>
      </c>
      <c r="F5" s="62">
        <v>10760</v>
      </c>
      <c r="G5" s="63">
        <v>12033</v>
      </c>
      <c r="H5" s="43" t="s">
        <v>99</v>
      </c>
    </row>
    <row r="6" spans="1:8" ht="15" customHeight="1" x14ac:dyDescent="0.15">
      <c r="A6" s="43" t="s">
        <v>87</v>
      </c>
      <c r="B6" s="66">
        <v>7.6200000000000004E-2</v>
      </c>
      <c r="C6" s="66">
        <v>7.0400000000000004E-2</v>
      </c>
      <c r="D6" s="66">
        <v>7.8299999999999995E-2</v>
      </c>
      <c r="E6" s="66">
        <v>9.4500000000000001E-2</v>
      </c>
      <c r="F6" s="66">
        <v>9.4600000000000004E-2</v>
      </c>
      <c r="G6" s="67">
        <f>G5/G3</f>
        <v>9.5421239611749031E-2</v>
      </c>
      <c r="H6" s="43" t="s">
        <v>40</v>
      </c>
    </row>
    <row r="7" spans="1:8" ht="15" customHeight="1" x14ac:dyDescent="0.15">
      <c r="A7" s="43" t="s">
        <v>100</v>
      </c>
      <c r="B7" s="62">
        <v>1569</v>
      </c>
      <c r="C7" s="62">
        <v>1182</v>
      </c>
      <c r="D7" s="62">
        <v>1670</v>
      </c>
      <c r="E7" s="62">
        <v>3020</v>
      </c>
      <c r="F7" s="62">
        <v>4146</v>
      </c>
      <c r="G7" s="63">
        <v>4086</v>
      </c>
      <c r="H7" s="43" t="s">
        <v>97</v>
      </c>
    </row>
    <row r="8" spans="1:8" ht="15" customHeight="1" x14ac:dyDescent="0.15">
      <c r="A8" s="43" t="s">
        <v>101</v>
      </c>
      <c r="B8" s="62">
        <v>1.46</v>
      </c>
      <c r="C8" s="62">
        <v>0.86</v>
      </c>
      <c r="D8" s="62">
        <v>1.47</v>
      </c>
      <c r="E8" s="62">
        <v>2.67</v>
      </c>
      <c r="F8" s="62">
        <v>3.6</v>
      </c>
      <c r="G8" s="63">
        <v>3.66</v>
      </c>
      <c r="H8" s="43" t="s">
        <v>97</v>
      </c>
    </row>
    <row r="9" spans="1:8" ht="15" customHeight="1" x14ac:dyDescent="0.15">
      <c r="A9" s="43" t="s">
        <v>102</v>
      </c>
      <c r="B9" s="62">
        <v>5051</v>
      </c>
      <c r="C9" s="62">
        <v>2463</v>
      </c>
      <c r="D9" s="62">
        <v>4643</v>
      </c>
      <c r="E9" s="62">
        <v>7569</v>
      </c>
      <c r="F9" s="62">
        <v>6286</v>
      </c>
      <c r="G9" s="63">
        <v>11284</v>
      </c>
      <c r="H9" s="43" t="s">
        <v>103</v>
      </c>
    </row>
    <row r="10" spans="1:8" ht="15" customHeight="1" x14ac:dyDescent="0.15">
      <c r="A10" s="43" t="s">
        <v>104</v>
      </c>
      <c r="B10" s="62">
        <v>1894</v>
      </c>
      <c r="C10" s="62">
        <v>2312</v>
      </c>
      <c r="D10" s="62">
        <v>2245</v>
      </c>
      <c r="E10" s="62">
        <v>6662</v>
      </c>
      <c r="F10" s="62">
        <v>4862</v>
      </c>
      <c r="G10" s="63">
        <v>6054</v>
      </c>
      <c r="H10" s="43" t="s">
        <v>105</v>
      </c>
    </row>
    <row r="11" spans="1:8" ht="15" customHeight="1" x14ac:dyDescent="0.15">
      <c r="A11" s="43" t="s">
        <v>106</v>
      </c>
      <c r="B11" s="62">
        <v>5693</v>
      </c>
      <c r="C11" s="62">
        <v>6573</v>
      </c>
      <c r="D11" s="62">
        <v>8514</v>
      </c>
      <c r="E11" s="62">
        <v>15637</v>
      </c>
      <c r="F11" s="62">
        <v>17431</v>
      </c>
      <c r="G11" s="63">
        <v>19881</v>
      </c>
      <c r="H11" s="43" t="s">
        <v>107</v>
      </c>
    </row>
    <row r="12" spans="1:8" ht="15" customHeight="1" x14ac:dyDescent="0.15">
      <c r="A12" s="43" t="s">
        <v>108</v>
      </c>
      <c r="B12" s="62">
        <v>4996</v>
      </c>
      <c r="C12" s="62">
        <v>6442</v>
      </c>
      <c r="D12" s="62">
        <v>7823</v>
      </c>
      <c r="E12" s="62">
        <v>9139</v>
      </c>
      <c r="F12" s="62">
        <v>10787</v>
      </c>
      <c r="G12" s="63">
        <v>12647</v>
      </c>
      <c r="H12" s="43" t="s">
        <v>107</v>
      </c>
    </row>
    <row r="13" spans="1:8" ht="15" customHeight="1" x14ac:dyDescent="0.15">
      <c r="A13" s="43" t="s">
        <v>109</v>
      </c>
      <c r="B13" s="62">
        <v>11141</v>
      </c>
      <c r="C13" s="62">
        <v>11360</v>
      </c>
      <c r="D13" s="62">
        <v>14136</v>
      </c>
      <c r="E13" s="62">
        <v>22617</v>
      </c>
      <c r="F13" s="62">
        <v>23669</v>
      </c>
      <c r="G13" s="63">
        <v>28165</v>
      </c>
      <c r="H13" s="43" t="s">
        <v>107</v>
      </c>
    </row>
    <row r="14" spans="1:8" ht="15" customHeight="1" x14ac:dyDescent="0.15">
      <c r="A14" s="43" t="s">
        <v>110</v>
      </c>
      <c r="B14" s="62">
        <v>10663</v>
      </c>
      <c r="C14" s="62">
        <v>12761</v>
      </c>
      <c r="D14" s="62">
        <v>12166</v>
      </c>
      <c r="E14" s="62">
        <v>17351</v>
      </c>
      <c r="F14" s="62">
        <v>14644</v>
      </c>
      <c r="G14" s="63">
        <v>15895</v>
      </c>
      <c r="H14" s="43" t="s">
        <v>107</v>
      </c>
    </row>
    <row r="15" spans="1:8" ht="15" customHeight="1" x14ac:dyDescent="0.15">
      <c r="A15" s="43" t="s">
        <v>111</v>
      </c>
      <c r="B15" s="62"/>
      <c r="C15" s="62"/>
      <c r="D15" s="62"/>
      <c r="E15" s="62"/>
      <c r="F15" s="62"/>
      <c r="G15" s="63">
        <v>7516</v>
      </c>
      <c r="H15" s="43" t="s">
        <v>112</v>
      </c>
    </row>
    <row r="16" spans="1:8" ht="15" customHeight="1" x14ac:dyDescent="0.15">
      <c r="A16" s="43" t="s">
        <v>113</v>
      </c>
      <c r="B16" s="62">
        <f t="shared" ref="B16:G16" si="0">B11+B12-B13</f>
        <v>-452</v>
      </c>
      <c r="C16" s="62">
        <f t="shared" si="0"/>
        <v>1655</v>
      </c>
      <c r="D16" s="62">
        <f t="shared" si="0"/>
        <v>2201</v>
      </c>
      <c r="E16" s="62">
        <f t="shared" si="0"/>
        <v>2159</v>
      </c>
      <c r="F16" s="62">
        <f t="shared" si="0"/>
        <v>4549</v>
      </c>
      <c r="G16" s="63">
        <f t="shared" si="0"/>
        <v>4363</v>
      </c>
      <c r="H16" s="43" t="s">
        <v>114</v>
      </c>
    </row>
    <row r="17" spans="1:8" ht="15" customHeight="1" x14ac:dyDescent="0.15">
      <c r="A17" s="43"/>
      <c r="B17" s="43"/>
      <c r="C17" s="43"/>
      <c r="D17" s="43"/>
      <c r="E17" s="43"/>
      <c r="F17" s="43"/>
      <c r="G17" s="43"/>
      <c r="H17" s="43"/>
    </row>
    <row r="18" spans="1:8" ht="15" customHeight="1" x14ac:dyDescent="0.15">
      <c r="A18" s="69"/>
      <c r="B18" s="43"/>
      <c r="C18" s="43"/>
      <c r="D18" s="43"/>
      <c r="E18" s="43"/>
      <c r="F18" s="43"/>
      <c r="G18" s="43"/>
      <c r="H18" s="43"/>
    </row>
    <row r="19" spans="1:8" ht="27.75" customHeight="1" x14ac:dyDescent="0.15">
      <c r="A19" s="68"/>
      <c r="B19" s="43"/>
      <c r="C19" s="43"/>
      <c r="D19" s="43"/>
      <c r="E19" s="43"/>
      <c r="F19" s="43"/>
      <c r="G19" s="43"/>
      <c r="H19" s="43"/>
    </row>
    <row r="20" spans="1:8" ht="15" customHeight="1" x14ac:dyDescent="0.15">
      <c r="A20" s="68"/>
      <c r="B20" s="43"/>
      <c r="C20" s="43"/>
      <c r="D20" s="43"/>
      <c r="E20" s="43"/>
      <c r="F20" s="43"/>
      <c r="G20" s="43"/>
      <c r="H20" s="43"/>
    </row>
  </sheetData>
  <autoFilter ref="A2:H20" xr:uid="{00000000-0009-0000-0000-000002000000}"/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8"/>
  <sheetViews>
    <sheetView showGridLines="0" zoomScale="115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5" sqref="F25"/>
    </sheetView>
  </sheetViews>
  <sheetFormatPr baseColWidth="10" defaultColWidth="8.6640625" defaultRowHeight="15" customHeight="1" x14ac:dyDescent="0.15"/>
  <cols>
    <col min="1" max="1" width="28" style="41" customWidth="1"/>
    <col min="2" max="7" width="14" style="41" customWidth="1"/>
    <col min="8" max="8" width="58" style="41" customWidth="1"/>
    <col min="9" max="16384" width="8.6640625" style="41"/>
  </cols>
  <sheetData>
    <row r="1" spans="1:8" ht="25.5" customHeight="1" x14ac:dyDescent="0.15">
      <c r="A1" s="2" t="s">
        <v>115</v>
      </c>
      <c r="B1" s="2"/>
      <c r="C1" s="2"/>
      <c r="D1" s="2"/>
      <c r="E1" s="2"/>
      <c r="F1" s="2"/>
      <c r="G1" s="2"/>
      <c r="H1" s="2"/>
    </row>
    <row r="2" spans="1:8" ht="15" customHeight="1" x14ac:dyDescent="0.15">
      <c r="A2" s="52" t="s">
        <v>89</v>
      </c>
      <c r="B2" s="52" t="s">
        <v>90</v>
      </c>
      <c r="C2" s="52" t="s">
        <v>91</v>
      </c>
      <c r="D2" s="52" t="s">
        <v>92</v>
      </c>
      <c r="E2" s="52" t="s">
        <v>93</v>
      </c>
      <c r="F2" s="52" t="s">
        <v>94</v>
      </c>
      <c r="G2" s="52" t="s">
        <v>95</v>
      </c>
      <c r="H2" s="52" t="s">
        <v>116</v>
      </c>
    </row>
    <row r="3" spans="1:8" ht="15" customHeight="1" x14ac:dyDescent="0.15">
      <c r="A3" s="43" t="s">
        <v>96</v>
      </c>
      <c r="B3" s="62">
        <v>57370</v>
      </c>
      <c r="C3" s="62">
        <v>63536</v>
      </c>
      <c r="D3" s="62">
        <v>78701</v>
      </c>
      <c r="E3" s="62">
        <v>98692</v>
      </c>
      <c r="F3" s="62">
        <v>113663</v>
      </c>
      <c r="G3" s="62">
        <v>126104</v>
      </c>
      <c r="H3" s="43" t="s">
        <v>117</v>
      </c>
    </row>
    <row r="4" spans="1:8" ht="15" customHeight="1" x14ac:dyDescent="0.15">
      <c r="A4" s="43" t="s">
        <v>86</v>
      </c>
      <c r="B4" s="64"/>
      <c r="C4" s="64">
        <v>0.1075</v>
      </c>
      <c r="D4" s="64">
        <v>8.1299999999999997E-2</v>
      </c>
      <c r="E4" s="64">
        <v>0.25359999999999999</v>
      </c>
      <c r="F4" s="64">
        <v>0.1517</v>
      </c>
      <c r="G4" s="64">
        <v>0.1094</v>
      </c>
      <c r="H4" s="43" t="s">
        <v>118</v>
      </c>
    </row>
    <row r="5" spans="1:8" ht="15" customHeight="1" x14ac:dyDescent="0.15">
      <c r="A5" s="43" t="s">
        <v>119</v>
      </c>
      <c r="B5" s="62">
        <v>4370</v>
      </c>
      <c r="C5" s="62">
        <v>4476</v>
      </c>
      <c r="D5" s="62">
        <v>6164</v>
      </c>
      <c r="E5" s="62">
        <v>9322</v>
      </c>
      <c r="F5" s="62">
        <v>10760</v>
      </c>
      <c r="G5" s="62">
        <v>12033</v>
      </c>
      <c r="H5" s="43" t="s">
        <v>120</v>
      </c>
    </row>
    <row r="6" spans="1:8" ht="15" customHeight="1" x14ac:dyDescent="0.15">
      <c r="A6" s="43" t="s">
        <v>87</v>
      </c>
      <c r="B6" s="66">
        <v>7.6200000000000004E-2</v>
      </c>
      <c r="C6" s="66">
        <v>7.0400000000000004E-2</v>
      </c>
      <c r="D6" s="66">
        <v>7.8299999999999995E-2</v>
      </c>
      <c r="E6" s="66">
        <v>9.4500000000000001E-2</v>
      </c>
      <c r="F6" s="66">
        <v>9.4600000000000004E-2</v>
      </c>
      <c r="G6" s="66">
        <f>G5/G3</f>
        <v>9.5421239611749031E-2</v>
      </c>
      <c r="H6" s="43" t="s">
        <v>121</v>
      </c>
    </row>
    <row r="7" spans="1:8" ht="15" customHeight="1" x14ac:dyDescent="0.15">
      <c r="A7" s="43" t="s">
        <v>122</v>
      </c>
      <c r="B7" s="62">
        <v>1800</v>
      </c>
      <c r="C7" s="62">
        <v>2000</v>
      </c>
      <c r="D7" s="62">
        <v>2400</v>
      </c>
      <c r="E7" s="62">
        <v>3810</v>
      </c>
      <c r="F7" s="62">
        <v>4493</v>
      </c>
      <c r="G7" s="62">
        <v>5133.8500000000004</v>
      </c>
      <c r="H7" s="43" t="s">
        <v>123</v>
      </c>
    </row>
    <row r="8" spans="1:8" ht="15" customHeight="1" x14ac:dyDescent="0.15">
      <c r="A8" s="43" t="s">
        <v>124</v>
      </c>
      <c r="B8" s="62">
        <v>2570</v>
      </c>
      <c r="C8" s="62">
        <v>2476</v>
      </c>
      <c r="D8" s="62">
        <v>3764</v>
      </c>
      <c r="E8" s="62">
        <v>5512</v>
      </c>
      <c r="F8" s="62">
        <v>6267</v>
      </c>
      <c r="G8" s="62">
        <f>G5-G7</f>
        <v>6899.15</v>
      </c>
      <c r="H8" s="43" t="s">
        <v>125</v>
      </c>
    </row>
    <row r="9" spans="1:8" ht="15" customHeight="1" x14ac:dyDescent="0.15">
      <c r="A9" s="43" t="s">
        <v>126</v>
      </c>
      <c r="B9" s="62">
        <v>1613</v>
      </c>
      <c r="C9" s="62">
        <v>1424</v>
      </c>
      <c r="D9" s="62">
        <v>2405</v>
      </c>
      <c r="E9" s="62">
        <v>3840</v>
      </c>
      <c r="F9" s="62">
        <v>5261</v>
      </c>
      <c r="G9" s="62">
        <v>5625</v>
      </c>
      <c r="H9" s="43" t="s">
        <v>127</v>
      </c>
    </row>
    <row r="10" spans="1:8" ht="15" customHeight="1" x14ac:dyDescent="0.15">
      <c r="A10" s="43" t="s">
        <v>128</v>
      </c>
      <c r="B10" s="62"/>
      <c r="C10" s="62"/>
      <c r="D10" s="62"/>
      <c r="E10" s="62"/>
      <c r="F10" s="62">
        <v>1116</v>
      </c>
      <c r="G10" s="62">
        <v>1539</v>
      </c>
      <c r="H10" s="43" t="s">
        <v>129</v>
      </c>
    </row>
    <row r="11" spans="1:8" ht="15" customHeight="1" x14ac:dyDescent="0.15">
      <c r="A11" s="43" t="s">
        <v>100</v>
      </c>
      <c r="B11" s="62">
        <v>1569</v>
      </c>
      <c r="C11" s="62">
        <v>1182</v>
      </c>
      <c r="D11" s="62">
        <v>1670</v>
      </c>
      <c r="E11" s="62">
        <v>3020</v>
      </c>
      <c r="F11" s="62">
        <v>4146</v>
      </c>
      <c r="G11" s="62">
        <v>4086</v>
      </c>
      <c r="H11" s="43" t="s">
        <v>127</v>
      </c>
    </row>
    <row r="12" spans="1:8" ht="15" customHeight="1" x14ac:dyDescent="0.15">
      <c r="A12" s="43" t="s">
        <v>101</v>
      </c>
      <c r="B12" s="70">
        <v>1.46</v>
      </c>
      <c r="C12" s="70">
        <v>0.86</v>
      </c>
      <c r="D12" s="70">
        <v>1.47</v>
      </c>
      <c r="E12" s="70">
        <v>2.67</v>
      </c>
      <c r="F12" s="70">
        <v>3.6</v>
      </c>
      <c r="G12" s="70">
        <v>3.66</v>
      </c>
      <c r="H12" s="43" t="s">
        <v>127</v>
      </c>
    </row>
    <row r="13" spans="1:8" ht="15" customHeight="1" x14ac:dyDescent="0.15">
      <c r="A13" s="43"/>
      <c r="B13" s="43"/>
      <c r="C13" s="43"/>
      <c r="D13" s="43"/>
      <c r="E13" s="43"/>
      <c r="F13" s="43"/>
      <c r="G13" s="43"/>
      <c r="H13" s="43"/>
    </row>
    <row r="14" spans="1:8" ht="15" customHeight="1" x14ac:dyDescent="0.15">
      <c r="A14" s="46" t="s">
        <v>130</v>
      </c>
      <c r="B14" s="43"/>
      <c r="C14" s="43"/>
      <c r="D14" s="43"/>
      <c r="E14" s="43"/>
      <c r="F14" s="43"/>
      <c r="G14" s="43"/>
      <c r="H14" s="43"/>
    </row>
    <row r="15" spans="1:8" ht="27.75" customHeight="1" x14ac:dyDescent="0.15">
      <c r="A15" s="68" t="s">
        <v>455</v>
      </c>
      <c r="B15" s="43"/>
      <c r="C15" s="43"/>
      <c r="D15" s="43"/>
      <c r="E15" s="43"/>
      <c r="F15" s="43"/>
      <c r="G15" s="43"/>
      <c r="H15" s="43"/>
    </row>
    <row r="16" spans="1:8" ht="15" customHeight="1" x14ac:dyDescent="0.15">
      <c r="A16" s="68" t="s">
        <v>456</v>
      </c>
      <c r="B16" s="43"/>
      <c r="C16" s="43"/>
      <c r="D16" s="43"/>
      <c r="E16" s="43"/>
      <c r="F16" s="43"/>
      <c r="G16" s="43"/>
      <c r="H16" s="43"/>
    </row>
    <row r="17" spans="1:8" ht="15" customHeight="1" x14ac:dyDescent="0.15">
      <c r="A17" s="68"/>
      <c r="B17" s="43"/>
      <c r="C17" s="43"/>
      <c r="D17" s="43"/>
      <c r="E17" s="43"/>
      <c r="F17" s="43"/>
      <c r="G17" s="43"/>
      <c r="H17" s="43"/>
    </row>
    <row r="18" spans="1:8" ht="15" customHeight="1" x14ac:dyDescent="0.15">
      <c r="A18" s="71"/>
      <c r="B18" s="43"/>
      <c r="C18" s="43"/>
      <c r="D18" s="43"/>
      <c r="E18" s="43"/>
      <c r="F18" s="43"/>
      <c r="G18" s="43"/>
      <c r="H18" s="43"/>
    </row>
  </sheetData>
  <autoFilter ref="A2:H18" xr:uid="{00000000-0009-0000-0000-000003000000}"/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8"/>
  <sheetViews>
    <sheetView showGridLines="0" zoomScale="115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H1"/>
    </sheetView>
  </sheetViews>
  <sheetFormatPr baseColWidth="10" defaultColWidth="8.6640625" defaultRowHeight="15" customHeight="1" x14ac:dyDescent="0.15"/>
  <cols>
    <col min="1" max="1" width="38" customWidth="1"/>
    <col min="2" max="7" width="11" customWidth="1"/>
    <col min="8" max="8" width="28" customWidth="1"/>
  </cols>
  <sheetData>
    <row r="1" spans="1:8" ht="25.5" customHeight="1" x14ac:dyDescent="0.15">
      <c r="A1" s="2" t="s">
        <v>131</v>
      </c>
      <c r="B1" s="2"/>
      <c r="C1" s="2"/>
      <c r="D1" s="2"/>
      <c r="E1" s="2"/>
      <c r="F1" s="2"/>
      <c r="G1" s="2"/>
      <c r="H1" s="2"/>
    </row>
    <row r="2" spans="1:8" ht="15" customHeight="1" x14ac:dyDescent="0.15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116</v>
      </c>
    </row>
    <row r="3" spans="1:8" ht="15" customHeight="1" x14ac:dyDescent="0.15">
      <c r="A3" s="3" t="s">
        <v>106</v>
      </c>
      <c r="B3" s="12">
        <v>5693</v>
      </c>
      <c r="C3" s="12">
        <v>6573</v>
      </c>
      <c r="D3" s="12">
        <v>8514</v>
      </c>
      <c r="E3" s="12">
        <v>15637</v>
      </c>
      <c r="F3" s="12">
        <v>17431</v>
      </c>
      <c r="G3" s="12">
        <v>19881</v>
      </c>
      <c r="H3" s="3"/>
    </row>
    <row r="4" spans="1:8" ht="15" customHeight="1" x14ac:dyDescent="0.15">
      <c r="A4" s="3" t="s">
        <v>108</v>
      </c>
      <c r="B4" s="12">
        <v>4996</v>
      </c>
      <c r="C4" s="12">
        <v>6442</v>
      </c>
      <c r="D4" s="12">
        <v>7823</v>
      </c>
      <c r="E4" s="12">
        <v>9139</v>
      </c>
      <c r="F4" s="12">
        <v>10787</v>
      </c>
      <c r="G4" s="12">
        <v>12647</v>
      </c>
      <c r="H4" s="3"/>
    </row>
    <row r="5" spans="1:8" ht="15" customHeight="1" x14ac:dyDescent="0.15">
      <c r="A5" s="3" t="s">
        <v>109</v>
      </c>
      <c r="B5" s="12">
        <v>11141</v>
      </c>
      <c r="C5" s="12">
        <v>11360</v>
      </c>
      <c r="D5" s="12">
        <v>14136</v>
      </c>
      <c r="E5" s="12">
        <v>22617</v>
      </c>
      <c r="F5" s="12">
        <v>23669</v>
      </c>
      <c r="G5" s="12">
        <v>28165</v>
      </c>
      <c r="H5" s="3"/>
    </row>
    <row r="6" spans="1:8" ht="15" customHeight="1" x14ac:dyDescent="0.15">
      <c r="A6" s="3" t="s">
        <v>132</v>
      </c>
      <c r="B6" s="12">
        <f t="shared" ref="B6:G6" si="0">B3+B4-B5</f>
        <v>-452</v>
      </c>
      <c r="C6" s="12">
        <f t="shared" si="0"/>
        <v>1655</v>
      </c>
      <c r="D6" s="12">
        <f t="shared" si="0"/>
        <v>2201</v>
      </c>
      <c r="E6" s="12">
        <f t="shared" si="0"/>
        <v>2159</v>
      </c>
      <c r="F6" s="12">
        <f t="shared" si="0"/>
        <v>4549</v>
      </c>
      <c r="G6" s="12">
        <f t="shared" si="0"/>
        <v>4363</v>
      </c>
      <c r="H6" s="3" t="s">
        <v>133</v>
      </c>
    </row>
    <row r="7" spans="1:8" ht="15" customHeight="1" x14ac:dyDescent="0.15">
      <c r="A7" s="3" t="s">
        <v>110</v>
      </c>
      <c r="B7" s="12">
        <v>10663</v>
      </c>
      <c r="C7" s="12">
        <v>12761</v>
      </c>
      <c r="D7" s="12">
        <v>12166</v>
      </c>
      <c r="E7" s="12">
        <v>17351</v>
      </c>
      <c r="F7" s="12">
        <v>14644</v>
      </c>
      <c r="G7" s="12">
        <v>15895</v>
      </c>
      <c r="H7" s="3" t="s">
        <v>134</v>
      </c>
    </row>
    <row r="8" spans="1:8" ht="15" customHeight="1" x14ac:dyDescent="0.15">
      <c r="A8" s="3" t="s">
        <v>135</v>
      </c>
      <c r="B8" s="12"/>
      <c r="C8" s="12"/>
      <c r="D8" s="12"/>
      <c r="E8" s="12"/>
      <c r="F8" s="12"/>
      <c r="G8" s="12">
        <v>7516</v>
      </c>
      <c r="H8" s="3" t="s">
        <v>134</v>
      </c>
    </row>
    <row r="9" spans="1:8" ht="15" customHeight="1" x14ac:dyDescent="0.15">
      <c r="A9" s="3" t="s">
        <v>136</v>
      </c>
      <c r="B9" s="12"/>
      <c r="C9" s="12"/>
      <c r="D9" s="12"/>
      <c r="E9" s="12"/>
      <c r="F9" s="12"/>
      <c r="G9" s="12">
        <f>G7-G8</f>
        <v>8379</v>
      </c>
      <c r="H9" s="3" t="s">
        <v>137</v>
      </c>
    </row>
    <row r="10" spans="1:8" ht="15" customHeight="1" x14ac:dyDescent="0.15">
      <c r="A10" s="3" t="s">
        <v>138</v>
      </c>
      <c r="B10" s="12"/>
      <c r="C10" s="12"/>
      <c r="D10" s="12"/>
      <c r="E10" s="12"/>
      <c r="F10" s="12"/>
      <c r="G10" s="19">
        <f>G7/'Historical Financials'!G5</f>
        <v>1.320950718856478</v>
      </c>
      <c r="H10" s="3" t="s">
        <v>139</v>
      </c>
    </row>
    <row r="11" spans="1:8" ht="15" customHeight="1" x14ac:dyDescent="0.15">
      <c r="A11" s="3" t="s">
        <v>140</v>
      </c>
      <c r="B11" s="12"/>
      <c r="C11" s="12"/>
      <c r="D11" s="12"/>
      <c r="E11" s="12"/>
      <c r="F11" s="12"/>
      <c r="G11" s="12">
        <v>1.06</v>
      </c>
      <c r="H11" s="3" t="s">
        <v>134</v>
      </c>
    </row>
    <row r="12" spans="1:8" ht="15" customHeight="1" x14ac:dyDescent="0.15">
      <c r="A12" s="3" t="s">
        <v>141</v>
      </c>
      <c r="B12" s="20">
        <v>36.200000000000003</v>
      </c>
      <c r="C12" s="20">
        <v>37.799999999999997</v>
      </c>
      <c r="D12" s="20">
        <v>39.5</v>
      </c>
      <c r="E12" s="20">
        <v>57.9</v>
      </c>
      <c r="F12" s="20">
        <v>56</v>
      </c>
      <c r="G12" s="20">
        <v>57.5</v>
      </c>
      <c r="H12" s="3" t="s">
        <v>142</v>
      </c>
    </row>
    <row r="13" spans="1:8" ht="15" customHeight="1" x14ac:dyDescent="0.15">
      <c r="A13" s="3" t="s">
        <v>143</v>
      </c>
      <c r="B13" s="20">
        <v>31.8</v>
      </c>
      <c r="C13" s="20">
        <v>37</v>
      </c>
      <c r="D13" s="20">
        <v>36.299999999999997</v>
      </c>
      <c r="E13" s="20">
        <v>33.799999999999997</v>
      </c>
      <c r="F13" s="20">
        <v>34.6</v>
      </c>
      <c r="G13" s="20">
        <v>36.6</v>
      </c>
      <c r="H13" s="3" t="s">
        <v>144</v>
      </c>
    </row>
    <row r="14" spans="1:8" ht="15" customHeight="1" x14ac:dyDescent="0.15">
      <c r="A14" s="3" t="s">
        <v>145</v>
      </c>
      <c r="B14" s="20">
        <v>70.900000000000006</v>
      </c>
      <c r="C14" s="20">
        <v>65.3</v>
      </c>
      <c r="D14" s="20">
        <v>65.599999999999994</v>
      </c>
      <c r="E14" s="20">
        <v>83.7</v>
      </c>
      <c r="F14" s="20">
        <v>76</v>
      </c>
      <c r="G14" s="20">
        <v>81.5</v>
      </c>
      <c r="H14" s="3" t="s">
        <v>146</v>
      </c>
    </row>
    <row r="15" spans="1:8" ht="15" customHeight="1" x14ac:dyDescent="0.15">
      <c r="A15" s="3"/>
      <c r="B15" s="3"/>
      <c r="C15" s="3"/>
      <c r="D15" s="3"/>
      <c r="E15" s="3"/>
      <c r="F15" s="3"/>
      <c r="G15" s="3"/>
      <c r="H15" s="3"/>
    </row>
    <row r="16" spans="1:8" ht="15" customHeight="1" x14ac:dyDescent="0.15">
      <c r="A16" s="4" t="s">
        <v>147</v>
      </c>
      <c r="B16" s="3"/>
      <c r="C16" s="3"/>
      <c r="D16" s="3"/>
      <c r="E16" s="3"/>
      <c r="F16" s="3"/>
      <c r="G16" s="3"/>
      <c r="H16" s="3"/>
    </row>
    <row r="17" spans="1:8" ht="15" customHeight="1" x14ac:dyDescent="0.15">
      <c r="A17" s="17" t="s">
        <v>148</v>
      </c>
      <c r="B17" s="3"/>
      <c r="C17" s="3"/>
      <c r="D17" s="3"/>
      <c r="E17" s="3"/>
      <c r="F17" s="3"/>
      <c r="G17" s="3"/>
      <c r="H17" s="3"/>
    </row>
    <row r="18" spans="1:8" ht="15" customHeight="1" x14ac:dyDescent="0.15">
      <c r="A18" s="17" t="s">
        <v>149</v>
      </c>
      <c r="B18" s="3"/>
      <c r="C18" s="3"/>
      <c r="D18" s="3"/>
      <c r="E18" s="3"/>
      <c r="F18" s="3"/>
      <c r="G18" s="3"/>
      <c r="H18" s="3"/>
    </row>
  </sheetData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H1"/>
    </sheetView>
  </sheetViews>
  <sheetFormatPr baseColWidth="10" defaultColWidth="8.6640625" defaultRowHeight="15" customHeight="1" x14ac:dyDescent="0.15"/>
  <cols>
    <col min="1" max="1" width="38" customWidth="1"/>
    <col min="2" max="7" width="10" customWidth="1"/>
    <col min="8" max="8" width="35" customWidth="1"/>
  </cols>
  <sheetData>
    <row r="1" spans="1:8" ht="25.5" customHeight="1" x14ac:dyDescent="0.15">
      <c r="A1" s="2" t="s">
        <v>150</v>
      </c>
      <c r="B1" s="2"/>
      <c r="C1" s="2"/>
      <c r="D1" s="2"/>
      <c r="E1" s="2"/>
      <c r="F1" s="2"/>
      <c r="G1" s="2"/>
      <c r="H1" s="2"/>
    </row>
    <row r="2" spans="1:8" ht="15" customHeight="1" x14ac:dyDescent="0.15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116</v>
      </c>
    </row>
    <row r="3" spans="1:8" ht="15" customHeight="1" x14ac:dyDescent="0.15">
      <c r="A3" s="3" t="s">
        <v>102</v>
      </c>
      <c r="B3" s="12">
        <v>5051</v>
      </c>
      <c r="C3" s="12">
        <v>2463</v>
      </c>
      <c r="D3" s="12">
        <v>4643</v>
      </c>
      <c r="E3" s="12">
        <v>7569</v>
      </c>
      <c r="F3" s="12">
        <v>6286</v>
      </c>
      <c r="G3" s="12">
        <v>11284</v>
      </c>
      <c r="H3" s="3" t="s">
        <v>151</v>
      </c>
    </row>
    <row r="4" spans="1:8" ht="15" customHeight="1" x14ac:dyDescent="0.15">
      <c r="A4" s="3" t="s">
        <v>104</v>
      </c>
      <c r="B4" s="12">
        <v>1894</v>
      </c>
      <c r="C4" s="12">
        <v>2312</v>
      </c>
      <c r="D4" s="12">
        <v>2245</v>
      </c>
      <c r="E4" s="12">
        <v>6662</v>
      </c>
      <c r="F4" s="12">
        <v>4862</v>
      </c>
      <c r="G4" s="12">
        <v>6054</v>
      </c>
      <c r="H4" s="3" t="s">
        <v>152</v>
      </c>
    </row>
    <row r="5" spans="1:8" ht="15" customHeight="1" x14ac:dyDescent="0.15">
      <c r="A5" s="3" t="s">
        <v>153</v>
      </c>
      <c r="B5" s="12">
        <v>3157</v>
      </c>
      <c r="C5" s="12">
        <v>151</v>
      </c>
      <c r="D5" s="12">
        <v>2398</v>
      </c>
      <c r="E5" s="12">
        <v>907</v>
      </c>
      <c r="F5" s="12">
        <v>1424</v>
      </c>
      <c r="G5" s="12">
        <f>G3-G4</f>
        <v>5230</v>
      </c>
      <c r="H5" s="3" t="s">
        <v>154</v>
      </c>
    </row>
    <row r="6" spans="1:8" ht="15" customHeight="1" x14ac:dyDescent="0.15">
      <c r="A6" s="3" t="s">
        <v>155</v>
      </c>
      <c r="B6" s="12">
        <v>-2098</v>
      </c>
      <c r="C6" s="12">
        <v>-1217</v>
      </c>
      <c r="D6" s="12">
        <v>-2734</v>
      </c>
      <c r="E6" s="12">
        <v>1281</v>
      </c>
      <c r="F6" s="12">
        <v>-2551</v>
      </c>
      <c r="G6" s="12">
        <v>-3275</v>
      </c>
      <c r="H6" s="3" t="s">
        <v>134</v>
      </c>
    </row>
    <row r="7" spans="1:8" ht="15" customHeight="1" x14ac:dyDescent="0.15">
      <c r="A7" s="3" t="s">
        <v>156</v>
      </c>
      <c r="B7" s="21">
        <v>3.22</v>
      </c>
      <c r="C7" s="21">
        <v>2.08</v>
      </c>
      <c r="D7" s="21">
        <v>2.78</v>
      </c>
      <c r="E7" s="21">
        <v>2.5099999999999998</v>
      </c>
      <c r="F7" s="21">
        <v>1.52</v>
      </c>
      <c r="G7" s="21">
        <v>1.54</v>
      </c>
      <c r="H7" s="3" t="s">
        <v>157</v>
      </c>
    </row>
    <row r="8" spans="1:8" ht="15" customHeight="1" x14ac:dyDescent="0.15">
      <c r="A8" s="3"/>
      <c r="B8" s="3"/>
      <c r="C8" s="3"/>
      <c r="D8" s="3"/>
      <c r="E8" s="3"/>
      <c r="F8" s="3"/>
      <c r="G8" s="3"/>
      <c r="H8" s="3"/>
    </row>
    <row r="9" spans="1:8" ht="15" customHeight="1" x14ac:dyDescent="0.15">
      <c r="A9" s="4" t="s">
        <v>158</v>
      </c>
      <c r="B9" s="3"/>
      <c r="C9" s="3"/>
      <c r="D9" s="3"/>
      <c r="E9" s="3"/>
      <c r="F9" s="3"/>
      <c r="G9" s="3"/>
      <c r="H9" s="3"/>
    </row>
    <row r="10" spans="1:8" ht="27.75" customHeight="1" x14ac:dyDescent="0.15">
      <c r="A10" s="17" t="s">
        <v>159</v>
      </c>
      <c r="B10" s="3"/>
      <c r="C10" s="3"/>
      <c r="D10" s="3"/>
      <c r="E10" s="3"/>
      <c r="F10" s="3"/>
      <c r="G10" s="3"/>
      <c r="H10" s="3"/>
    </row>
    <row r="11" spans="1:8" ht="15" customHeight="1" x14ac:dyDescent="0.15">
      <c r="A11" s="17" t="s">
        <v>160</v>
      </c>
      <c r="B11" s="3"/>
      <c r="C11" s="3"/>
      <c r="D11" s="3"/>
      <c r="E11" s="3"/>
      <c r="F11" s="3"/>
      <c r="G11" s="3"/>
      <c r="H11" s="3"/>
    </row>
    <row r="12" spans="1:8" ht="15" customHeight="1" x14ac:dyDescent="0.15">
      <c r="A12" s="17" t="s">
        <v>161</v>
      </c>
      <c r="B12" s="3"/>
      <c r="C12" s="3"/>
      <c r="D12" s="3"/>
      <c r="E12" s="3"/>
      <c r="F12" s="3"/>
      <c r="G12" s="3"/>
      <c r="H12" s="3"/>
    </row>
  </sheetData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H1"/>
    </sheetView>
  </sheetViews>
  <sheetFormatPr baseColWidth="10" defaultColWidth="8.6640625" defaultRowHeight="15" customHeight="1" x14ac:dyDescent="0.15"/>
  <cols>
    <col min="1" max="1" width="38" customWidth="1"/>
    <col min="2" max="7" width="10" customWidth="1"/>
    <col min="8" max="8" width="33" customWidth="1"/>
  </cols>
  <sheetData>
    <row r="1" spans="1:8" ht="25.5" customHeight="1" x14ac:dyDescent="0.15">
      <c r="A1" s="2" t="s">
        <v>162</v>
      </c>
      <c r="B1" s="2"/>
      <c r="C1" s="2"/>
      <c r="D1" s="2"/>
      <c r="E1" s="2"/>
      <c r="F1" s="2"/>
      <c r="G1" s="2"/>
      <c r="H1" s="2"/>
    </row>
    <row r="2" spans="1:8" ht="15" customHeight="1" x14ac:dyDescent="0.15">
      <c r="A2" s="5" t="s">
        <v>163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164</v>
      </c>
    </row>
    <row r="3" spans="1:8" ht="15" customHeight="1" x14ac:dyDescent="0.15">
      <c r="A3" s="3" t="s">
        <v>86</v>
      </c>
      <c r="B3" s="16"/>
      <c r="C3" s="16">
        <v>0.1075</v>
      </c>
      <c r="D3" s="16">
        <v>8.1299999999999997E-2</v>
      </c>
      <c r="E3" s="16">
        <v>0.25359999999999999</v>
      </c>
      <c r="F3" s="16">
        <v>0.1517</v>
      </c>
      <c r="G3" s="16">
        <v>0.1094</v>
      </c>
      <c r="H3" s="3" t="s">
        <v>165</v>
      </c>
    </row>
    <row r="4" spans="1:8" ht="15" customHeight="1" x14ac:dyDescent="0.15">
      <c r="A4" s="3" t="s">
        <v>87</v>
      </c>
      <c r="B4" s="16">
        <v>7.6200000000000004E-2</v>
      </c>
      <c r="C4" s="16">
        <v>7.0400000000000004E-2</v>
      </c>
      <c r="D4" s="16">
        <v>7.8299999999999995E-2</v>
      </c>
      <c r="E4" s="16">
        <v>9.4500000000000001E-2</v>
      </c>
      <c r="F4" s="16">
        <v>9.4600000000000004E-2</v>
      </c>
      <c r="G4" s="16">
        <v>9.6100000000000005E-2</v>
      </c>
      <c r="H4" s="3" t="s">
        <v>166</v>
      </c>
    </row>
    <row r="5" spans="1:8" ht="15" customHeight="1" x14ac:dyDescent="0.15">
      <c r="A5" s="3" t="s">
        <v>66</v>
      </c>
      <c r="B5" s="16">
        <v>3.1399999999999997E-2</v>
      </c>
      <c r="C5" s="16">
        <v>3.15E-2</v>
      </c>
      <c r="D5" s="16">
        <v>3.0499999999999999E-2</v>
      </c>
      <c r="E5" s="16">
        <v>3.8600000000000002E-2</v>
      </c>
      <c r="F5" s="16">
        <v>3.95E-2</v>
      </c>
      <c r="G5" s="16">
        <v>3.9600000000000003E-2</v>
      </c>
      <c r="H5" s="3" t="s">
        <v>167</v>
      </c>
    </row>
    <row r="6" spans="1:8" ht="15" customHeight="1" x14ac:dyDescent="0.15">
      <c r="A6" s="3" t="s">
        <v>69</v>
      </c>
      <c r="B6" s="16">
        <v>3.3000000000000002E-2</v>
      </c>
      <c r="C6" s="16">
        <v>3.6400000000000002E-2</v>
      </c>
      <c r="D6" s="16">
        <v>2.8500000000000001E-2</v>
      </c>
      <c r="E6" s="16">
        <v>6.7599999999999993E-2</v>
      </c>
      <c r="F6" s="16">
        <v>4.2799999999999998E-2</v>
      </c>
      <c r="G6" s="16">
        <v>4.8000000000000001E-2</v>
      </c>
      <c r="H6" s="3" t="s">
        <v>168</v>
      </c>
    </row>
    <row r="7" spans="1:8" ht="15" customHeight="1" x14ac:dyDescent="0.15">
      <c r="A7" s="3" t="s">
        <v>72</v>
      </c>
      <c r="B7" s="16">
        <v>-7.9000000000000008E-3</v>
      </c>
      <c r="C7" s="16">
        <v>2.5999999999999999E-2</v>
      </c>
      <c r="D7" s="16">
        <v>2.8000000000000001E-2</v>
      </c>
      <c r="E7" s="16">
        <v>2.1899999999999999E-2</v>
      </c>
      <c r="F7" s="16">
        <v>0.04</v>
      </c>
      <c r="G7" s="16">
        <v>3.4599999999999999E-2</v>
      </c>
      <c r="H7" s="3" t="s">
        <v>169</v>
      </c>
    </row>
    <row r="8" spans="1:8" ht="15" customHeight="1" x14ac:dyDescent="0.15">
      <c r="A8" s="3"/>
      <c r="B8" s="3"/>
      <c r="C8" s="3"/>
      <c r="D8" s="3"/>
      <c r="E8" s="3"/>
      <c r="F8" s="3"/>
      <c r="G8" s="3"/>
      <c r="H8" s="3"/>
    </row>
    <row r="9" spans="1:8" ht="15" customHeight="1" x14ac:dyDescent="0.15">
      <c r="A9" s="4" t="s">
        <v>170</v>
      </c>
      <c r="B9" s="3"/>
      <c r="C9" s="3"/>
      <c r="D9" s="3"/>
      <c r="E9" s="3"/>
      <c r="F9" s="3"/>
      <c r="G9" s="3"/>
      <c r="H9" s="3"/>
    </row>
    <row r="10" spans="1:8" ht="15" customHeight="1" x14ac:dyDescent="0.15">
      <c r="A10" s="17" t="s">
        <v>96</v>
      </c>
      <c r="B10" s="3"/>
      <c r="C10" s="3"/>
      <c r="D10" s="3"/>
      <c r="E10" s="3"/>
      <c r="F10" s="3"/>
      <c r="G10" s="3"/>
      <c r="H10" s="3"/>
    </row>
    <row r="11" spans="1:8" ht="15" customHeight="1" x14ac:dyDescent="0.15">
      <c r="A11" s="17" t="s">
        <v>171</v>
      </c>
      <c r="B11" s="3"/>
      <c r="C11" s="3"/>
      <c r="D11" s="3"/>
      <c r="E11" s="3"/>
      <c r="F11" s="3"/>
      <c r="G11" s="3"/>
      <c r="H11" s="3"/>
    </row>
    <row r="12" spans="1:8" ht="15" customHeight="1" x14ac:dyDescent="0.15">
      <c r="A12" s="17" t="s">
        <v>104</v>
      </c>
      <c r="B12" s="3"/>
      <c r="C12" s="3"/>
      <c r="D12" s="3"/>
      <c r="E12" s="3"/>
      <c r="F12" s="3"/>
      <c r="G12" s="3"/>
      <c r="H12" s="3"/>
    </row>
    <row r="13" spans="1:8" ht="15" customHeight="1" x14ac:dyDescent="0.15">
      <c r="A13" s="17" t="s">
        <v>172</v>
      </c>
      <c r="B13" s="3"/>
      <c r="C13" s="3"/>
      <c r="D13" s="3"/>
      <c r="E13" s="3"/>
      <c r="F13" s="3"/>
      <c r="G13" s="3"/>
      <c r="H13" s="3"/>
    </row>
  </sheetData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5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H1"/>
    </sheetView>
  </sheetViews>
  <sheetFormatPr baseColWidth="10" defaultColWidth="8.6640625" defaultRowHeight="15" customHeight="1" x14ac:dyDescent="0.15"/>
  <cols>
    <col min="1" max="1" width="25" customWidth="1"/>
    <col min="2" max="7" width="14" customWidth="1"/>
    <col min="8" max="8" width="52" customWidth="1"/>
  </cols>
  <sheetData>
    <row r="1" spans="1:8" ht="25.5" customHeight="1" x14ac:dyDescent="0.15">
      <c r="A1" s="2" t="s">
        <v>173</v>
      </c>
      <c r="B1" s="2"/>
      <c r="C1" s="2"/>
      <c r="D1" s="2"/>
      <c r="E1" s="2"/>
      <c r="F1" s="2"/>
      <c r="G1" s="2"/>
      <c r="H1" s="2"/>
    </row>
    <row r="2" spans="1:8" ht="15" customHeight="1" x14ac:dyDescent="0.15">
      <c r="A2" s="5" t="s">
        <v>89</v>
      </c>
      <c r="B2" s="5" t="s">
        <v>174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84</v>
      </c>
      <c r="H2" s="5" t="s">
        <v>175</v>
      </c>
    </row>
    <row r="3" spans="1:8" ht="15" customHeight="1" x14ac:dyDescent="0.15">
      <c r="A3" s="3" t="s">
        <v>96</v>
      </c>
      <c r="B3" s="22">
        <v>126103.67</v>
      </c>
      <c r="C3" s="13">
        <f>B3*(1+Assumptions!B20)</f>
        <v>138714.03700000001</v>
      </c>
      <c r="D3" s="13">
        <f>C3*(1+Assumptions!C20)</f>
        <v>152585.44070000004</v>
      </c>
      <c r="E3" s="13">
        <f>D3*(1+Assumptions!D20)</f>
        <v>166318.13036300006</v>
      </c>
      <c r="F3" s="13">
        <f>E3*(1+Assumptions!E20)</f>
        <v>179623.58079204007</v>
      </c>
      <c r="G3" s="13">
        <f>F3*(1+Assumptions!F20)</f>
        <v>192197.23144748289</v>
      </c>
      <c r="H3" s="3"/>
    </row>
    <row r="4" spans="1:8" ht="15" customHeight="1" x14ac:dyDescent="0.15">
      <c r="A4" s="3" t="s">
        <v>86</v>
      </c>
      <c r="B4" s="6"/>
      <c r="C4" s="15">
        <f>Assumptions!B20</f>
        <v>0.1</v>
      </c>
      <c r="D4" s="15">
        <f>Assumptions!C20</f>
        <v>0.1</v>
      </c>
      <c r="E4" s="15">
        <f>Assumptions!D20</f>
        <v>0.09</v>
      </c>
      <c r="F4" s="15">
        <f>Assumptions!E20</f>
        <v>0.08</v>
      </c>
      <c r="G4" s="15">
        <f>Assumptions!F20</f>
        <v>7.0000000000000007E-2</v>
      </c>
      <c r="H4" s="3"/>
    </row>
    <row r="5" spans="1:8" ht="15" customHeight="1" x14ac:dyDescent="0.15">
      <c r="A5" s="3" t="s">
        <v>119</v>
      </c>
      <c r="B5" s="22">
        <f>'Historical Financials'!G5</f>
        <v>12033</v>
      </c>
      <c r="C5" s="13">
        <f>C3*Assumptions!B21</f>
        <v>14148.831774</v>
      </c>
      <c r="D5" s="13">
        <f>D3*Assumptions!C21</f>
        <v>15868.885832800002</v>
      </c>
      <c r="E5" s="13">
        <f>E3*Assumptions!D21</f>
        <v>17629.721818478007</v>
      </c>
      <c r="F5" s="13">
        <f>F3*Assumptions!E21</f>
        <v>19399.346725540327</v>
      </c>
      <c r="G5" s="13">
        <f>G3*Assumptions!F21</f>
        <v>21141.69545922312</v>
      </c>
      <c r="H5" s="3" t="s">
        <v>176</v>
      </c>
    </row>
    <row r="6" spans="1:8" ht="15" customHeight="1" x14ac:dyDescent="0.15">
      <c r="A6" s="3" t="s">
        <v>87</v>
      </c>
      <c r="B6" s="6">
        <f t="shared" ref="B6:G6" si="0">B5/B3</f>
        <v>9.5421489319065814E-2</v>
      </c>
      <c r="C6" s="15">
        <f t="shared" si="0"/>
        <v>0.10199999999999999</v>
      </c>
      <c r="D6" s="15">
        <f t="shared" si="0"/>
        <v>0.104</v>
      </c>
      <c r="E6" s="15">
        <f t="shared" si="0"/>
        <v>0.106</v>
      </c>
      <c r="F6" s="15">
        <f t="shared" si="0"/>
        <v>0.108</v>
      </c>
      <c r="G6" s="15">
        <f t="shared" si="0"/>
        <v>0.11000000000000001</v>
      </c>
      <c r="H6" s="3"/>
    </row>
    <row r="7" spans="1:8" ht="15" customHeight="1" x14ac:dyDescent="0.15">
      <c r="A7" s="3" t="s">
        <v>122</v>
      </c>
      <c r="B7" s="22">
        <v>5133.8500000000004</v>
      </c>
      <c r="C7" s="13">
        <f>C3*Assumptions!B22</f>
        <v>5132.4193690000002</v>
      </c>
      <c r="D7" s="13">
        <f>D3*Assumptions!C22</f>
        <v>5645.661305900001</v>
      </c>
      <c r="E7" s="13">
        <f>E3*Assumptions!D22</f>
        <v>6153.7708234310021</v>
      </c>
      <c r="F7" s="13">
        <f>F3*Assumptions!E22</f>
        <v>6646.0724893054821</v>
      </c>
      <c r="G7" s="13">
        <f>G3*Assumptions!F22</f>
        <v>7111.2975635568664</v>
      </c>
      <c r="H7" s="3" t="s">
        <v>177</v>
      </c>
    </row>
    <row r="8" spans="1:8" ht="15" customHeight="1" x14ac:dyDescent="0.15">
      <c r="A8" s="3" t="s">
        <v>124</v>
      </c>
      <c r="B8" s="22">
        <f t="shared" ref="B8:G8" si="1">B5-B7</f>
        <v>6899.15</v>
      </c>
      <c r="C8" s="13">
        <f t="shared" si="1"/>
        <v>9016.4124049999991</v>
      </c>
      <c r="D8" s="13">
        <f t="shared" si="1"/>
        <v>10223.224526900001</v>
      </c>
      <c r="E8" s="13">
        <f t="shared" si="1"/>
        <v>11475.950995047006</v>
      </c>
      <c r="F8" s="13">
        <f t="shared" si="1"/>
        <v>12753.274236234844</v>
      </c>
      <c r="G8" s="13">
        <f t="shared" si="1"/>
        <v>14030.397895666254</v>
      </c>
      <c r="H8" s="3"/>
    </row>
    <row r="9" spans="1:8" ht="15" customHeight="1" x14ac:dyDescent="0.15">
      <c r="A9" s="3" t="s">
        <v>178</v>
      </c>
      <c r="B9" s="6">
        <f>Assumptions!B10</f>
        <v>0.27400000000000002</v>
      </c>
      <c r="C9" s="15">
        <f>Assumptions!$B$10</f>
        <v>0.27400000000000002</v>
      </c>
      <c r="D9" s="15">
        <f>Assumptions!$B$10</f>
        <v>0.27400000000000002</v>
      </c>
      <c r="E9" s="15">
        <f>Assumptions!$B$10</f>
        <v>0.27400000000000002</v>
      </c>
      <c r="F9" s="15">
        <f>Assumptions!$B$10</f>
        <v>0.27400000000000002</v>
      </c>
      <c r="G9" s="15">
        <f>Assumptions!$B$10</f>
        <v>0.27400000000000002</v>
      </c>
      <c r="H9" s="3"/>
    </row>
    <row r="10" spans="1:8" ht="15" customHeight="1" x14ac:dyDescent="0.15">
      <c r="A10" s="3" t="s">
        <v>179</v>
      </c>
      <c r="B10" s="22">
        <f t="shared" ref="B10:G10" si="2">B8*(1-B9)</f>
        <v>5008.7828999999992</v>
      </c>
      <c r="C10" s="13">
        <f t="shared" si="2"/>
        <v>6545.9154060299988</v>
      </c>
      <c r="D10" s="13">
        <f t="shared" si="2"/>
        <v>7422.0610065294004</v>
      </c>
      <c r="E10" s="13">
        <f t="shared" si="2"/>
        <v>8331.5404224041249</v>
      </c>
      <c r="F10" s="13">
        <f t="shared" si="2"/>
        <v>9258.8770955064956</v>
      </c>
      <c r="G10" s="13">
        <f t="shared" si="2"/>
        <v>10186.0688722537</v>
      </c>
      <c r="H10" s="3"/>
    </row>
    <row r="11" spans="1:8" ht="15" customHeight="1" x14ac:dyDescent="0.15">
      <c r="A11" s="3" t="s">
        <v>104</v>
      </c>
      <c r="B11" s="22">
        <v>6054</v>
      </c>
      <c r="C11" s="13">
        <f>C3*Assumptions!B23</f>
        <v>6242.1316649999999</v>
      </c>
      <c r="D11" s="13">
        <f>D3*Assumptions!C23</f>
        <v>6866.3448315000014</v>
      </c>
      <c r="E11" s="13">
        <f>E3*Assumptions!D23</f>
        <v>7484.3158663350023</v>
      </c>
      <c r="F11" s="13">
        <f>F3*Assumptions!E23</f>
        <v>8083.061135641803</v>
      </c>
      <c r="G11" s="13">
        <f>G3*Assumptions!F23</f>
        <v>8648.8754151367302</v>
      </c>
      <c r="H11" s="3" t="s">
        <v>180</v>
      </c>
    </row>
    <row r="12" spans="1:8" ht="15" customHeight="1" x14ac:dyDescent="0.15">
      <c r="A12" s="3" t="s">
        <v>132</v>
      </c>
      <c r="B12" s="22">
        <f>'Historical Financials'!G16</f>
        <v>4363</v>
      </c>
      <c r="C12" s="13">
        <f>C3*Assumptions!B24</f>
        <v>4854.9912950000007</v>
      </c>
      <c r="D12" s="13">
        <f>D3*Assumptions!C24</f>
        <v>5340.4904245000016</v>
      </c>
      <c r="E12" s="13">
        <f>E3*Assumptions!D24</f>
        <v>5821.1345627050023</v>
      </c>
      <c r="F12" s="13">
        <f>F3*Assumptions!E24</f>
        <v>6286.8253277214026</v>
      </c>
      <c r="G12" s="13">
        <f>G3*Assumptions!F24</f>
        <v>6726.9031006619016</v>
      </c>
      <c r="H12" s="3" t="s">
        <v>181</v>
      </c>
    </row>
    <row r="13" spans="1:8" ht="15" customHeight="1" x14ac:dyDescent="0.15">
      <c r="A13" s="3" t="s">
        <v>182</v>
      </c>
      <c r="B13" s="22">
        <v>0</v>
      </c>
      <c r="C13" s="13">
        <f>C12-B12</f>
        <v>491.99129500000072</v>
      </c>
      <c r="D13" s="13">
        <f>D12-C12</f>
        <v>485.49912950000089</v>
      </c>
      <c r="E13" s="13">
        <f>E12-D12</f>
        <v>480.64413820500067</v>
      </c>
      <c r="F13" s="13">
        <f>F12-E12</f>
        <v>465.69076501640029</v>
      </c>
      <c r="G13" s="13">
        <f>G12-F12</f>
        <v>440.07777294049902</v>
      </c>
      <c r="H13" s="3"/>
    </row>
    <row r="14" spans="1:8" ht="15" customHeight="1" x14ac:dyDescent="0.15">
      <c r="A14" s="3" t="s">
        <v>183</v>
      </c>
      <c r="B14" s="22"/>
      <c r="C14" s="13">
        <f>C10+C7-C11-C13</f>
        <v>4944.2118150299975</v>
      </c>
      <c r="D14" s="13">
        <f>D10+D7-D11-D13</f>
        <v>5715.8783514293991</v>
      </c>
      <c r="E14" s="13">
        <f>E10+E7-E11-E13</f>
        <v>6520.351241295125</v>
      </c>
      <c r="F14" s="13">
        <f>F10+F7-F11-F13</f>
        <v>7356.1976841537735</v>
      </c>
      <c r="G14" s="13">
        <f>G10+G7-G11-G13</f>
        <v>8208.4132477333369</v>
      </c>
      <c r="H14" s="3"/>
    </row>
    <row r="15" spans="1:8" ht="15" customHeight="1" x14ac:dyDescent="0.15">
      <c r="A15" s="3" t="s">
        <v>184</v>
      </c>
      <c r="B15" s="6"/>
      <c r="C15" s="15">
        <f>C14/C3</f>
        <v>3.5643197487143979E-2</v>
      </c>
      <c r="D15" s="15">
        <f>D14/D3</f>
        <v>3.7460181818181802E-2</v>
      </c>
      <c r="E15" s="15">
        <f>E14/E3</f>
        <v>3.9204091743119271E-2</v>
      </c>
      <c r="F15" s="15">
        <f>F14/F3</f>
        <v>4.095340740740739E-2</v>
      </c>
      <c r="G15" s="15">
        <f>G14/G3</f>
        <v>4.2708280373831779E-2</v>
      </c>
      <c r="H15" s="3"/>
    </row>
  </sheetData>
  <autoFilter ref="A2:H15" xr:uid="{00000000-0009-0000-0000-000007000000}"/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7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G1"/>
    </sheetView>
  </sheetViews>
  <sheetFormatPr baseColWidth="10" defaultColWidth="8.6640625" defaultRowHeight="15" customHeight="1" x14ac:dyDescent="0.15"/>
  <cols>
    <col min="1" max="1" width="32" customWidth="1"/>
    <col min="2" max="7" width="15" customWidth="1"/>
  </cols>
  <sheetData>
    <row r="1" spans="1:7" ht="25.5" customHeight="1" x14ac:dyDescent="0.15">
      <c r="A1" s="2" t="s">
        <v>185</v>
      </c>
      <c r="B1" s="2"/>
      <c r="C1" s="2"/>
      <c r="D1" s="2"/>
      <c r="E1" s="2"/>
      <c r="F1" s="2"/>
      <c r="G1" s="2"/>
    </row>
    <row r="2" spans="1:7" ht="15" customHeight="1" x14ac:dyDescent="0.15">
      <c r="A2" s="5" t="s">
        <v>186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187</v>
      </c>
    </row>
    <row r="3" spans="1:7" ht="15" customHeight="1" x14ac:dyDescent="0.15">
      <c r="A3" s="3" t="s">
        <v>96</v>
      </c>
      <c r="B3" s="13">
        <f>Forecast!C3</f>
        <v>138714.03700000001</v>
      </c>
      <c r="C3" s="13">
        <f>Forecast!D3</f>
        <v>152585.44070000004</v>
      </c>
      <c r="D3" s="13">
        <f>Forecast!E3</f>
        <v>166318.13036300006</v>
      </c>
      <c r="E3" s="13">
        <f>Forecast!F3</f>
        <v>179623.58079204007</v>
      </c>
      <c r="F3" s="13">
        <f>Forecast!G3</f>
        <v>192197.23144748289</v>
      </c>
      <c r="G3" s="3"/>
    </row>
    <row r="4" spans="1:7" ht="15" customHeight="1" x14ac:dyDescent="0.15">
      <c r="A4" s="3" t="s">
        <v>119</v>
      </c>
      <c r="B4" s="13">
        <f>Forecast!C5</f>
        <v>14148.831774</v>
      </c>
      <c r="C4" s="13">
        <f>Forecast!D5</f>
        <v>15868.885832800002</v>
      </c>
      <c r="D4" s="13">
        <f>Forecast!E5</f>
        <v>17629.721818478007</v>
      </c>
      <c r="E4" s="13">
        <f>Forecast!F5</f>
        <v>19399.346725540327</v>
      </c>
      <c r="F4" s="13">
        <f>Forecast!G5</f>
        <v>21141.69545922312</v>
      </c>
      <c r="G4" s="3"/>
    </row>
    <row r="5" spans="1:7" ht="15" customHeight="1" x14ac:dyDescent="0.15">
      <c r="A5" s="3" t="s">
        <v>122</v>
      </c>
      <c r="B5" s="13">
        <f>Forecast!C7</f>
        <v>5132.4193690000002</v>
      </c>
      <c r="C5" s="13">
        <f>Forecast!D7</f>
        <v>5645.661305900001</v>
      </c>
      <c r="D5" s="13">
        <f>Forecast!E7</f>
        <v>6153.7708234310021</v>
      </c>
      <c r="E5" s="13">
        <f>Forecast!F7</f>
        <v>6646.0724893054821</v>
      </c>
      <c r="F5" s="13">
        <f>Forecast!G7</f>
        <v>7111.2975635568664</v>
      </c>
      <c r="G5" s="3"/>
    </row>
    <row r="6" spans="1:7" ht="15" customHeight="1" x14ac:dyDescent="0.15">
      <c r="A6" s="3" t="s">
        <v>124</v>
      </c>
      <c r="B6" s="13">
        <f>Forecast!C8</f>
        <v>9016.4124049999991</v>
      </c>
      <c r="C6" s="13">
        <f>Forecast!D8</f>
        <v>10223.224526900001</v>
      </c>
      <c r="D6" s="13">
        <f>Forecast!E8</f>
        <v>11475.950995047006</v>
      </c>
      <c r="E6" s="13">
        <f>Forecast!F8</f>
        <v>12753.274236234844</v>
      </c>
      <c r="F6" s="13">
        <f>Forecast!G8</f>
        <v>14030.397895666254</v>
      </c>
      <c r="G6" s="3"/>
    </row>
    <row r="7" spans="1:7" ht="15" customHeight="1" x14ac:dyDescent="0.15">
      <c r="A7" s="3" t="s">
        <v>128</v>
      </c>
      <c r="B7" s="13">
        <f>Forecast!C9</f>
        <v>0.27400000000000002</v>
      </c>
      <c r="C7" s="13">
        <f>Forecast!D9</f>
        <v>0.27400000000000002</v>
      </c>
      <c r="D7" s="13">
        <f>Forecast!E9</f>
        <v>0.27400000000000002</v>
      </c>
      <c r="E7" s="13">
        <f>Forecast!F9</f>
        <v>0.27400000000000002</v>
      </c>
      <c r="F7" s="13">
        <f>Forecast!G9</f>
        <v>0.27400000000000002</v>
      </c>
      <c r="G7" s="3"/>
    </row>
    <row r="8" spans="1:7" ht="15" customHeight="1" x14ac:dyDescent="0.15">
      <c r="A8" s="3" t="s">
        <v>179</v>
      </c>
      <c r="B8" s="13">
        <f>Forecast!C10</f>
        <v>6545.9154060299988</v>
      </c>
      <c r="C8" s="13">
        <f>Forecast!D10</f>
        <v>7422.0610065294004</v>
      </c>
      <c r="D8" s="13">
        <f>Forecast!E10</f>
        <v>8331.5404224041249</v>
      </c>
      <c r="E8" s="13">
        <f>Forecast!F10</f>
        <v>9258.8770955064956</v>
      </c>
      <c r="F8" s="13">
        <f>Forecast!G10</f>
        <v>10186.0688722537</v>
      </c>
      <c r="G8" s="3"/>
    </row>
    <row r="9" spans="1:7" ht="15" customHeight="1" x14ac:dyDescent="0.15">
      <c r="A9" s="3" t="s">
        <v>188</v>
      </c>
      <c r="B9" s="13">
        <f>Forecast!C7</f>
        <v>5132.4193690000002</v>
      </c>
      <c r="C9" s="13">
        <f>Forecast!D7</f>
        <v>5645.661305900001</v>
      </c>
      <c r="D9" s="13">
        <f>Forecast!E7</f>
        <v>6153.7708234310021</v>
      </c>
      <c r="E9" s="13">
        <f>Forecast!F7</f>
        <v>6646.0724893054821</v>
      </c>
      <c r="F9" s="13">
        <f>Forecast!G7</f>
        <v>7111.2975635568664</v>
      </c>
      <c r="G9" s="3"/>
    </row>
    <row r="10" spans="1:7" ht="15" customHeight="1" x14ac:dyDescent="0.15">
      <c r="A10" s="3" t="s">
        <v>189</v>
      </c>
      <c r="B10" s="13">
        <f>Forecast!C11</f>
        <v>6242.1316649999999</v>
      </c>
      <c r="C10" s="13">
        <f>Forecast!D11</f>
        <v>6866.3448315000014</v>
      </c>
      <c r="D10" s="13">
        <f>Forecast!E11</f>
        <v>7484.3158663350023</v>
      </c>
      <c r="E10" s="13">
        <f>Forecast!F11</f>
        <v>8083.061135641803</v>
      </c>
      <c r="F10" s="13">
        <f>Forecast!G11</f>
        <v>8648.8754151367302</v>
      </c>
      <c r="G10" s="3"/>
    </row>
    <row r="11" spans="1:7" ht="15" customHeight="1" x14ac:dyDescent="0.15">
      <c r="A11" s="3" t="s">
        <v>190</v>
      </c>
      <c r="B11" s="13">
        <f>Forecast!C13</f>
        <v>491.99129500000072</v>
      </c>
      <c r="C11" s="13">
        <f>Forecast!D13</f>
        <v>485.49912950000089</v>
      </c>
      <c r="D11" s="13">
        <f>Forecast!E13</f>
        <v>480.64413820500067</v>
      </c>
      <c r="E11" s="13">
        <f>Forecast!F13</f>
        <v>465.69076501640029</v>
      </c>
      <c r="F11" s="13">
        <f>Forecast!G13</f>
        <v>440.07777294049902</v>
      </c>
      <c r="G11" s="3"/>
    </row>
    <row r="12" spans="1:7" ht="15" customHeight="1" x14ac:dyDescent="0.15">
      <c r="A12" s="3" t="s">
        <v>183</v>
      </c>
      <c r="B12" s="13">
        <f>Forecast!C14</f>
        <v>4944.2118150299975</v>
      </c>
      <c r="C12" s="13">
        <f>Forecast!D14</f>
        <v>5715.8783514293991</v>
      </c>
      <c r="D12" s="13">
        <f>Forecast!E14</f>
        <v>6520.351241295125</v>
      </c>
      <c r="E12" s="13">
        <f>Forecast!F14</f>
        <v>7356.1976841537735</v>
      </c>
      <c r="F12" s="13">
        <f>Forecast!G14</f>
        <v>8208.4132477333369</v>
      </c>
      <c r="G12" s="3"/>
    </row>
    <row r="13" spans="1:7" ht="15" customHeight="1" x14ac:dyDescent="0.15">
      <c r="A13" s="3"/>
      <c r="B13" s="3"/>
      <c r="C13" s="3"/>
      <c r="D13" s="3"/>
      <c r="E13" s="3"/>
      <c r="F13" s="3"/>
      <c r="G13" s="3"/>
    </row>
    <row r="14" spans="1:7" ht="15" customHeight="1" x14ac:dyDescent="0.15">
      <c r="A14" s="4" t="s">
        <v>191</v>
      </c>
      <c r="B14" s="3"/>
      <c r="C14" s="3"/>
      <c r="D14" s="3"/>
      <c r="E14" s="3"/>
      <c r="F14" s="3"/>
      <c r="G14" s="3"/>
    </row>
    <row r="15" spans="1:7" ht="15" customHeight="1" x14ac:dyDescent="0.15">
      <c r="A15" s="17" t="s">
        <v>192</v>
      </c>
      <c r="B15" s="3"/>
      <c r="C15" s="3"/>
      <c r="D15" s="3"/>
      <c r="E15" s="3"/>
      <c r="F15" s="3"/>
      <c r="G15" s="3"/>
    </row>
    <row r="16" spans="1:7" ht="15" customHeight="1" x14ac:dyDescent="0.15">
      <c r="A16" s="17" t="s">
        <v>193</v>
      </c>
      <c r="B16" s="3"/>
      <c r="C16" s="3"/>
      <c r="D16" s="3"/>
      <c r="E16" s="3"/>
      <c r="F16" s="3"/>
      <c r="G16" s="3"/>
    </row>
    <row r="17" spans="1:7" ht="15" customHeight="1" x14ac:dyDescent="0.15">
      <c r="A17" s="17" t="s">
        <v>194</v>
      </c>
      <c r="B17" s="3"/>
      <c r="C17" s="3"/>
      <c r="D17" s="3"/>
      <c r="E17" s="3"/>
      <c r="F17" s="3"/>
      <c r="G17" s="3"/>
    </row>
  </sheetData>
  <mergeCells count="1">
    <mergeCell ref="A1:G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F1"/>
    </sheetView>
  </sheetViews>
  <sheetFormatPr baseColWidth="10" defaultColWidth="8.6640625" defaultRowHeight="15" customHeight="1" x14ac:dyDescent="0.15"/>
  <cols>
    <col min="1" max="1" width="28" customWidth="1"/>
    <col min="2" max="2" width="18" customWidth="1"/>
    <col min="3" max="3" width="42" customWidth="1"/>
    <col min="4" max="4" width="14" customWidth="1"/>
    <col min="5" max="5" width="55" customWidth="1"/>
    <col min="6" max="6" width="20" customWidth="1"/>
  </cols>
  <sheetData>
    <row r="1" spans="1:6" ht="25.5" customHeight="1" x14ac:dyDescent="0.15">
      <c r="A1" s="2" t="s">
        <v>195</v>
      </c>
      <c r="B1" s="2"/>
      <c r="C1" s="2"/>
      <c r="D1" s="2"/>
      <c r="E1" s="2"/>
      <c r="F1" s="2"/>
    </row>
    <row r="2" spans="1:6" ht="15" customHeight="1" x14ac:dyDescent="0.15">
      <c r="A2" s="5" t="s">
        <v>27</v>
      </c>
      <c r="B2" s="5" t="s">
        <v>28</v>
      </c>
      <c r="C2" s="5" t="s">
        <v>196</v>
      </c>
      <c r="D2" s="5" t="s">
        <v>29</v>
      </c>
      <c r="E2" s="5" t="s">
        <v>32</v>
      </c>
      <c r="F2" s="5" t="s">
        <v>30</v>
      </c>
    </row>
    <row r="3" spans="1:6" ht="15" customHeight="1" x14ac:dyDescent="0.15">
      <c r="A3" s="3" t="s">
        <v>43</v>
      </c>
      <c r="B3" s="6">
        <f>Assumptions!B5</f>
        <v>6.9620000000000001E-2</v>
      </c>
      <c r="C3" s="3" t="s">
        <v>197</v>
      </c>
      <c r="D3" s="3" t="s">
        <v>44</v>
      </c>
      <c r="E3" s="3" t="s">
        <v>198</v>
      </c>
      <c r="F3" s="3" t="s">
        <v>35</v>
      </c>
    </row>
    <row r="4" spans="1:6" ht="15" customHeight="1" x14ac:dyDescent="0.15">
      <c r="A4" s="3" t="s">
        <v>199</v>
      </c>
      <c r="B4" s="7">
        <f>Assumptions!B6</f>
        <v>1.4615</v>
      </c>
      <c r="C4" s="3" t="s">
        <v>200</v>
      </c>
      <c r="D4" s="3" t="s">
        <v>48</v>
      </c>
      <c r="E4" s="3" t="s">
        <v>201</v>
      </c>
      <c r="F4" s="3" t="s">
        <v>35</v>
      </c>
    </row>
    <row r="5" spans="1:6" ht="15" customHeight="1" x14ac:dyDescent="0.15">
      <c r="A5" s="3" t="s">
        <v>202</v>
      </c>
      <c r="B5" s="6">
        <f>Assumptions!B7</f>
        <v>7.2700000000000001E-2</v>
      </c>
      <c r="C5" s="3" t="s">
        <v>203</v>
      </c>
      <c r="D5" s="3" t="s">
        <v>44</v>
      </c>
      <c r="E5" s="3" t="s">
        <v>204</v>
      </c>
      <c r="F5" s="3" t="s">
        <v>35</v>
      </c>
    </row>
    <row r="6" spans="1:6" ht="15" customHeight="1" x14ac:dyDescent="0.15">
      <c r="A6" s="3" t="s">
        <v>205</v>
      </c>
      <c r="B6" s="23">
        <f>B3+B4*B5</f>
        <v>0.17587105</v>
      </c>
      <c r="C6" s="3" t="s">
        <v>206</v>
      </c>
      <c r="D6" s="3" t="s">
        <v>44</v>
      </c>
      <c r="E6" s="3" t="s">
        <v>207</v>
      </c>
      <c r="F6" s="3" t="s">
        <v>40</v>
      </c>
    </row>
    <row r="7" spans="1:6" ht="15" customHeight="1" x14ac:dyDescent="0.15">
      <c r="A7" s="3" t="s">
        <v>208</v>
      </c>
      <c r="B7" s="7">
        <f>B27</f>
        <v>0.91882647868838052</v>
      </c>
      <c r="C7" s="3" t="s">
        <v>209</v>
      </c>
      <c r="D7" s="3" t="s">
        <v>48</v>
      </c>
      <c r="E7" s="3" t="s">
        <v>210</v>
      </c>
      <c r="F7" s="3" t="s">
        <v>40</v>
      </c>
    </row>
    <row r="8" spans="1:6" ht="15" customHeight="1" x14ac:dyDescent="0.15">
      <c r="A8" s="3" t="s">
        <v>211</v>
      </c>
      <c r="B8" s="6">
        <f>B3+B7*B5</f>
        <v>0.13641868500064525</v>
      </c>
      <c r="C8" s="3" t="s">
        <v>212</v>
      </c>
      <c r="D8" s="3" t="s">
        <v>44</v>
      </c>
      <c r="E8" s="3" t="s">
        <v>213</v>
      </c>
      <c r="F8" s="3" t="s">
        <v>40</v>
      </c>
    </row>
    <row r="9" spans="1:6" ht="15" customHeight="1" x14ac:dyDescent="0.15">
      <c r="A9" s="3" t="s">
        <v>57</v>
      </c>
      <c r="B9" s="6">
        <f>Assumptions!B9</f>
        <v>7.4999999999999997E-2</v>
      </c>
      <c r="C9" s="3" t="s">
        <v>214</v>
      </c>
      <c r="D9" s="3" t="s">
        <v>44</v>
      </c>
      <c r="E9" s="3" t="s">
        <v>215</v>
      </c>
      <c r="F9" s="3" t="s">
        <v>58</v>
      </c>
    </row>
    <row r="10" spans="1:6" ht="15" customHeight="1" x14ac:dyDescent="0.15">
      <c r="A10" s="3" t="s">
        <v>178</v>
      </c>
      <c r="B10" s="23">
        <f>Assumptions!B10</f>
        <v>0.27400000000000002</v>
      </c>
      <c r="C10" s="3" t="s">
        <v>216</v>
      </c>
      <c r="D10" s="3" t="s">
        <v>44</v>
      </c>
      <c r="E10" s="3" t="s">
        <v>217</v>
      </c>
      <c r="F10" s="3" t="s">
        <v>35</v>
      </c>
    </row>
    <row r="11" spans="1:6" ht="15" customHeight="1" x14ac:dyDescent="0.15">
      <c r="A11" s="3" t="s">
        <v>218</v>
      </c>
      <c r="B11" s="6">
        <f>B9*(1-B10)</f>
        <v>5.4449999999999998E-2</v>
      </c>
      <c r="C11" s="3" t="s">
        <v>219</v>
      </c>
      <c r="D11" s="3" t="s">
        <v>44</v>
      </c>
      <c r="E11" s="3" t="s">
        <v>40</v>
      </c>
      <c r="F11" s="3" t="s">
        <v>40</v>
      </c>
    </row>
    <row r="12" spans="1:6" ht="15" customHeight="1" x14ac:dyDescent="0.15">
      <c r="A12" s="3" t="s">
        <v>220</v>
      </c>
      <c r="B12" s="22">
        <f>Assumptions!B4</f>
        <v>171731.33556087103</v>
      </c>
      <c r="C12" s="3" t="s">
        <v>38</v>
      </c>
      <c r="D12" s="3" t="s">
        <v>39</v>
      </c>
      <c r="E12" s="3" t="s">
        <v>221</v>
      </c>
      <c r="F12" s="3" t="s">
        <v>35</v>
      </c>
    </row>
    <row r="13" spans="1:6" ht="15" customHeight="1" x14ac:dyDescent="0.15">
      <c r="A13" s="3" t="s">
        <v>222</v>
      </c>
      <c r="B13" s="22">
        <f>'Historical Financials'!G14</f>
        <v>15895</v>
      </c>
      <c r="C13" s="3" t="s">
        <v>223</v>
      </c>
      <c r="D13" s="3" t="s">
        <v>39</v>
      </c>
      <c r="E13" s="3" t="s">
        <v>224</v>
      </c>
      <c r="F13" s="3" t="s">
        <v>35</v>
      </c>
    </row>
    <row r="14" spans="1:6" ht="15" customHeight="1" x14ac:dyDescent="0.15">
      <c r="A14" s="3" t="s">
        <v>225</v>
      </c>
      <c r="B14" s="6">
        <f>B12/(B12+B13)</f>
        <v>0.91528374760139553</v>
      </c>
      <c r="C14" s="3" t="s">
        <v>226</v>
      </c>
      <c r="D14" s="3" t="s">
        <v>44</v>
      </c>
      <c r="E14" s="3" t="s">
        <v>40</v>
      </c>
      <c r="F14" s="3" t="s">
        <v>40</v>
      </c>
    </row>
    <row r="15" spans="1:6" ht="15" customHeight="1" x14ac:dyDescent="0.15">
      <c r="A15" s="3" t="s">
        <v>227</v>
      </c>
      <c r="B15" s="6">
        <f>B13/(B12+B13)</f>
        <v>8.4716252398604433E-2</v>
      </c>
      <c r="C15" s="3" t="s">
        <v>228</v>
      </c>
      <c r="D15" s="3" t="s">
        <v>44</v>
      </c>
      <c r="E15" s="3" t="s">
        <v>40</v>
      </c>
      <c r="F15" s="3" t="s">
        <v>40</v>
      </c>
    </row>
    <row r="16" spans="1:6" ht="15" customHeight="1" x14ac:dyDescent="0.15">
      <c r="A16" s="3" t="s">
        <v>12</v>
      </c>
      <c r="B16" s="6">
        <f>B14*B8+B15*B11</f>
        <v>0.12947460519334886</v>
      </c>
      <c r="C16" s="3" t="s">
        <v>229</v>
      </c>
      <c r="D16" s="3" t="s">
        <v>44</v>
      </c>
      <c r="E16" s="3" t="s">
        <v>230</v>
      </c>
      <c r="F16" s="3" t="s">
        <v>40</v>
      </c>
    </row>
    <row r="17" spans="1:6" ht="15" customHeight="1" x14ac:dyDescent="0.15">
      <c r="A17" s="3"/>
      <c r="B17" s="3"/>
      <c r="C17" s="3"/>
      <c r="D17" s="3"/>
      <c r="E17" s="3"/>
      <c r="F17" s="3"/>
    </row>
    <row r="18" spans="1:6" ht="15" customHeight="1" x14ac:dyDescent="0.15">
      <c r="A18" s="24" t="s">
        <v>231</v>
      </c>
      <c r="B18" s="3"/>
      <c r="C18" s="3"/>
      <c r="D18" s="3"/>
      <c r="E18" s="3"/>
      <c r="F18" s="3"/>
    </row>
    <row r="19" spans="1:6" ht="15" customHeight="1" x14ac:dyDescent="0.15">
      <c r="A19" s="5" t="s">
        <v>232</v>
      </c>
      <c r="B19" s="5" t="s">
        <v>233</v>
      </c>
      <c r="C19" s="5" t="s">
        <v>234</v>
      </c>
      <c r="D19" s="5" t="s">
        <v>178</v>
      </c>
      <c r="E19" s="5" t="s">
        <v>235</v>
      </c>
      <c r="F19" s="5" t="s">
        <v>236</v>
      </c>
    </row>
    <row r="20" spans="1:6" ht="15" customHeight="1" x14ac:dyDescent="0.15">
      <c r="A20" s="17" t="s">
        <v>237</v>
      </c>
      <c r="B20" s="25">
        <v>1.1578999999999999</v>
      </c>
      <c r="C20" s="11">
        <v>0.38</v>
      </c>
      <c r="D20" s="11">
        <v>0.25</v>
      </c>
      <c r="E20" s="25">
        <f>B20/(1+(1-D20)*C20)</f>
        <v>0.90108949416342399</v>
      </c>
      <c r="F20" s="3" t="s">
        <v>238</v>
      </c>
    </row>
    <row r="21" spans="1:6" ht="15" customHeight="1" x14ac:dyDescent="0.15">
      <c r="A21" s="17" t="s">
        <v>239</v>
      </c>
      <c r="B21" s="25">
        <v>1.33</v>
      </c>
      <c r="C21" s="11">
        <v>0.65</v>
      </c>
      <c r="D21" s="11">
        <v>0.25</v>
      </c>
      <c r="E21" s="25">
        <f>B21/(1+(1-D21)*C21)</f>
        <v>0.89411764705882357</v>
      </c>
      <c r="F21" s="3" t="s">
        <v>240</v>
      </c>
    </row>
    <row r="22" spans="1:6" ht="15" customHeight="1" x14ac:dyDescent="0.15">
      <c r="A22" s="17" t="s">
        <v>241</v>
      </c>
      <c r="B22" s="25">
        <v>1.27</v>
      </c>
      <c r="C22" s="11">
        <v>0.66</v>
      </c>
      <c r="D22" s="11">
        <v>0.19070000000000001</v>
      </c>
      <c r="E22" s="25">
        <f>B22/(1+(1-D22)*C22)</f>
        <v>0.82782644064614785</v>
      </c>
      <c r="F22" s="3" t="s">
        <v>242</v>
      </c>
    </row>
    <row r="23" spans="1:6" ht="15" customHeight="1" x14ac:dyDescent="0.15">
      <c r="A23" s="3" t="s">
        <v>243</v>
      </c>
      <c r="B23" s="25">
        <v>1.65</v>
      </c>
      <c r="C23" s="11">
        <v>2.5499999999999998</v>
      </c>
      <c r="D23" s="11">
        <v>0.25</v>
      </c>
      <c r="E23" s="25">
        <f>B23/(1+(1-D23)*C23)</f>
        <v>0.5665236051502146</v>
      </c>
      <c r="F23" s="3" t="s">
        <v>244</v>
      </c>
    </row>
    <row r="24" spans="1:6" ht="15" customHeight="1" x14ac:dyDescent="0.15">
      <c r="A24" s="3" t="s">
        <v>245</v>
      </c>
      <c r="B24" s="3"/>
      <c r="C24" s="3"/>
      <c r="D24" s="3"/>
      <c r="E24" s="3">
        <f>MEDIAN(E20:E23)</f>
        <v>0.86097204385248571</v>
      </c>
      <c r="F24" s="3" t="s">
        <v>40</v>
      </c>
    </row>
    <row r="25" spans="1:6" ht="15" customHeight="1" x14ac:dyDescent="0.15">
      <c r="A25" s="3"/>
      <c r="B25" s="3"/>
      <c r="C25" s="3"/>
      <c r="D25" s="3"/>
      <c r="E25" s="3"/>
      <c r="F25" s="3"/>
    </row>
    <row r="26" spans="1:6" ht="15" customHeight="1" x14ac:dyDescent="0.15">
      <c r="A26" s="3" t="s">
        <v>246</v>
      </c>
      <c r="B26" s="3">
        <f>B13/B12</f>
        <v>9.2557365538952191E-2</v>
      </c>
      <c r="C26" s="3" t="s">
        <v>247</v>
      </c>
      <c r="D26" s="3"/>
      <c r="E26" s="3"/>
      <c r="F26" s="3" t="s">
        <v>40</v>
      </c>
    </row>
    <row r="27" spans="1:6" ht="23.25" customHeight="1" x14ac:dyDescent="0.15">
      <c r="A27" s="3" t="s">
        <v>248</v>
      </c>
      <c r="B27" s="3">
        <f>E24*(1+(1-B10)*B26)</f>
        <v>0.91882647868838052</v>
      </c>
      <c r="C27" s="3" t="s">
        <v>249</v>
      </c>
      <c r="D27" s="3"/>
      <c r="E27" s="3"/>
      <c r="F27" s="3" t="s">
        <v>40</v>
      </c>
    </row>
    <row r="28" spans="1:6" ht="15" customHeight="1" x14ac:dyDescent="0.15">
      <c r="A28" s="3"/>
      <c r="B28" s="3"/>
      <c r="C28" s="3"/>
      <c r="D28" s="3"/>
      <c r="E28" s="3"/>
      <c r="F28" s="3"/>
    </row>
    <row r="29" spans="1:6" ht="15" customHeight="1" x14ac:dyDescent="0.15">
      <c r="A29" s="3" t="s">
        <v>250</v>
      </c>
      <c r="B29" s="1" t="s">
        <v>251</v>
      </c>
      <c r="C29" s="1"/>
      <c r="D29" s="1"/>
      <c r="E29" s="1"/>
      <c r="F29" s="1"/>
    </row>
    <row r="30" spans="1:6" ht="15" customHeight="1" x14ac:dyDescent="0.15">
      <c r="A30" s="3"/>
      <c r="B30" s="1"/>
      <c r="C30" s="1"/>
      <c r="D30" s="1"/>
      <c r="E30" s="1"/>
      <c r="F30" s="1"/>
    </row>
  </sheetData>
  <autoFilter ref="A19:F30" xr:uid="{00000000-0009-0000-0000-000009000000}"/>
  <mergeCells count="2">
    <mergeCell ref="A1:F1"/>
    <mergeCell ref="B29:F30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25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G1"/>
    </sheetView>
  </sheetViews>
  <sheetFormatPr baseColWidth="10" defaultColWidth="8.6640625" defaultRowHeight="15" customHeight="1" x14ac:dyDescent="0.15"/>
  <cols>
    <col min="1" max="1" width="32" customWidth="1"/>
    <col min="2" max="6" width="16" customWidth="1"/>
    <col min="7" max="7" width="24" customWidth="1"/>
  </cols>
  <sheetData>
    <row r="1" spans="1:7" ht="25.5" customHeight="1" x14ac:dyDescent="0.15">
      <c r="A1" s="2" t="s">
        <v>252</v>
      </c>
      <c r="B1" s="2"/>
      <c r="C1" s="2"/>
      <c r="D1" s="2"/>
      <c r="E1" s="2"/>
      <c r="F1" s="2"/>
      <c r="G1" s="2"/>
    </row>
    <row r="2" spans="1:7" ht="15" customHeight="1" x14ac:dyDescent="0.15">
      <c r="A2" s="5" t="s">
        <v>89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253</v>
      </c>
    </row>
    <row r="3" spans="1:7" ht="15" customHeight="1" x14ac:dyDescent="0.15">
      <c r="A3" s="3" t="s">
        <v>183</v>
      </c>
      <c r="B3" s="13">
        <f>FCFF!B12</f>
        <v>4944.2118150299975</v>
      </c>
      <c r="C3" s="13">
        <f>FCFF!C12</f>
        <v>5715.8783514293991</v>
      </c>
      <c r="D3" s="13">
        <f>FCFF!D12</f>
        <v>6520.351241295125</v>
      </c>
      <c r="E3" s="13">
        <f>FCFF!E12</f>
        <v>7356.1976841537735</v>
      </c>
      <c r="F3" s="13">
        <f>FCFF!F12</f>
        <v>8208.4132477333369</v>
      </c>
      <c r="G3" s="3"/>
    </row>
    <row r="4" spans="1:7" ht="15" customHeight="1" x14ac:dyDescent="0.15">
      <c r="A4" s="3" t="s">
        <v>254</v>
      </c>
      <c r="B4" s="13">
        <f>1/(1+WACC!$B$16)^1</f>
        <v>0.88536740481103182</v>
      </c>
      <c r="C4" s="13">
        <f>1/(1+WACC!$B$16)^2</f>
        <v>0.78387544150182142</v>
      </c>
      <c r="D4" s="13">
        <f>1/(1+WACC!$B$16)^3</f>
        <v>0.69401776533756943</v>
      </c>
      <c r="E4" s="13">
        <f>1/(1+WACC!$B$16)^4</f>
        <v>0.61446070778967543</v>
      </c>
      <c r="F4" s="13">
        <f>1/(1+WACC!$B$16)^5</f>
        <v>0.54402348221409469</v>
      </c>
      <c r="G4" s="3"/>
    </row>
    <row r="5" spans="1:7" ht="15" customHeight="1" x14ac:dyDescent="0.15">
      <c r="A5" s="3" t="s">
        <v>255</v>
      </c>
      <c r="B5" s="13">
        <f>B3*B4</f>
        <v>4377.4439835091498</v>
      </c>
      <c r="C5" s="13">
        <f>C3*C4</f>
        <v>4480.5366662974238</v>
      </c>
      <c r="D5" s="13">
        <f>D3*D4</f>
        <v>4525.2395976996895</v>
      </c>
      <c r="E5" s="13">
        <f>E3*E4</f>
        <v>4520.0944356458986</v>
      </c>
      <c r="F5" s="13">
        <f>F3*F4</f>
        <v>4465.569558484196</v>
      </c>
      <c r="G5" s="3"/>
    </row>
    <row r="6" spans="1:7" ht="15" customHeight="1" x14ac:dyDescent="0.15">
      <c r="A6" s="3"/>
      <c r="B6" s="3"/>
      <c r="C6" s="3"/>
      <c r="D6" s="3"/>
      <c r="E6" s="3"/>
      <c r="F6" s="3"/>
      <c r="G6" s="3"/>
    </row>
    <row r="7" spans="1:7" ht="15" customHeight="1" x14ac:dyDescent="0.15">
      <c r="A7" s="3" t="s">
        <v>63</v>
      </c>
      <c r="B7" s="3"/>
      <c r="C7" s="3"/>
      <c r="D7" s="3"/>
      <c r="E7" s="3"/>
      <c r="F7" s="3"/>
      <c r="G7" s="14">
        <f>Assumptions!B11</f>
        <v>0.04</v>
      </c>
    </row>
    <row r="8" spans="1:7" ht="15" customHeight="1" x14ac:dyDescent="0.15">
      <c r="A8" s="3" t="s">
        <v>256</v>
      </c>
      <c r="B8" s="3"/>
      <c r="C8" s="3"/>
      <c r="D8" s="3"/>
      <c r="E8" s="3"/>
      <c r="F8" s="3"/>
      <c r="G8" s="12">
        <f>F3*(1+G7)/(WACC!$B$16-G7)</f>
        <v>95409.750724189333</v>
      </c>
    </row>
    <row r="9" spans="1:7" ht="15" customHeight="1" x14ac:dyDescent="0.15">
      <c r="A9" s="3" t="s">
        <v>257</v>
      </c>
      <c r="B9" s="3"/>
      <c r="C9" s="3"/>
      <c r="D9" s="3"/>
      <c r="E9" s="3"/>
      <c r="F9" s="3"/>
      <c r="G9" s="12">
        <f>G8*F4</f>
        <v>51905.144826152224</v>
      </c>
    </row>
    <row r="10" spans="1:7" ht="15" customHeight="1" x14ac:dyDescent="0.15">
      <c r="A10" s="3" t="s">
        <v>258</v>
      </c>
      <c r="B10" s="3"/>
      <c r="C10" s="3"/>
      <c r="D10" s="3"/>
      <c r="E10" s="3"/>
      <c r="F10" s="3"/>
      <c r="G10" s="26">
        <f>SUM(B5:F5)+G9</f>
        <v>74274.029067788579</v>
      </c>
    </row>
    <row r="11" spans="1:7" ht="15" customHeight="1" x14ac:dyDescent="0.15">
      <c r="A11" s="3" t="s">
        <v>259</v>
      </c>
      <c r="B11" s="3"/>
      <c r="C11" s="3"/>
      <c r="D11" s="3"/>
      <c r="E11" s="3"/>
      <c r="F11" s="3"/>
      <c r="G11" s="12">
        <f>WACC!B13</f>
        <v>15895</v>
      </c>
    </row>
    <row r="12" spans="1:7" ht="15" customHeight="1" x14ac:dyDescent="0.15">
      <c r="A12" s="3" t="s">
        <v>260</v>
      </c>
      <c r="B12" s="3"/>
      <c r="C12" s="3"/>
      <c r="D12" s="3"/>
      <c r="E12" s="3"/>
      <c r="F12" s="3"/>
      <c r="G12" s="12">
        <f>'Historical Financials'!G15</f>
        <v>7516</v>
      </c>
    </row>
    <row r="13" spans="1:7" ht="15" customHeight="1" x14ac:dyDescent="0.15">
      <c r="A13" s="3" t="s">
        <v>261</v>
      </c>
      <c r="B13" s="3"/>
      <c r="C13" s="3"/>
      <c r="D13" s="3"/>
      <c r="E13" s="3"/>
      <c r="F13" s="3"/>
      <c r="G13" s="26">
        <f>G10-G11+G12</f>
        <v>65895.029067788579</v>
      </c>
    </row>
    <row r="14" spans="1:7" ht="15" customHeight="1" x14ac:dyDescent="0.15">
      <c r="A14" s="3" t="s">
        <v>262</v>
      </c>
      <c r="B14" s="3"/>
      <c r="C14" s="3"/>
      <c r="D14" s="3"/>
      <c r="E14" s="3"/>
      <c r="F14" s="3"/>
      <c r="G14" s="20">
        <f>Assumptions!B15</f>
        <v>1055.4442601000001</v>
      </c>
    </row>
    <row r="15" spans="1:7" ht="15" customHeight="1" x14ac:dyDescent="0.15">
      <c r="A15" s="3" t="s">
        <v>263</v>
      </c>
      <c r="B15" s="3"/>
      <c r="C15" s="3"/>
      <c r="D15" s="3"/>
      <c r="E15" s="3"/>
      <c r="F15" s="3"/>
      <c r="G15" s="27">
        <f>G13/G14</f>
        <v>62.433452489044974</v>
      </c>
    </row>
    <row r="16" spans="1:7" ht="15" customHeight="1" x14ac:dyDescent="0.15">
      <c r="A16" s="3" t="s">
        <v>264</v>
      </c>
      <c r="B16" s="3"/>
      <c r="C16" s="3"/>
      <c r="D16" s="3"/>
      <c r="E16" s="3"/>
      <c r="F16" s="3"/>
      <c r="G16" s="8">
        <f>Assumptions!B3</f>
        <v>162.71</v>
      </c>
    </row>
    <row r="17" spans="1:7" ht="15" customHeight="1" x14ac:dyDescent="0.15">
      <c r="A17" s="3" t="s">
        <v>265</v>
      </c>
      <c r="B17" s="3"/>
      <c r="C17" s="3"/>
      <c r="D17" s="3"/>
      <c r="E17" s="3"/>
      <c r="F17" s="3"/>
      <c r="G17" s="28">
        <f>G15/G16-1</f>
        <v>-0.61629000990077454</v>
      </c>
    </row>
    <row r="18" spans="1:7" ht="15" customHeight="1" x14ac:dyDescent="0.15">
      <c r="A18" s="24" t="s">
        <v>77</v>
      </c>
      <c r="B18" s="29">
        <f>Assumptions!B16</f>
        <v>14.968032540585973</v>
      </c>
      <c r="C18" s="3"/>
      <c r="D18" s="24" t="s">
        <v>266</v>
      </c>
      <c r="E18" s="3"/>
      <c r="F18" s="3"/>
      <c r="G18" s="30">
        <f>Assumptions!B16</f>
        <v>14.968032540585973</v>
      </c>
    </row>
    <row r="19" spans="1:7" ht="15" customHeight="1" x14ac:dyDescent="0.15">
      <c r="A19" s="3" t="s">
        <v>24</v>
      </c>
      <c r="B19" s="20">
        <f>Forecast!G5</f>
        <v>21141.69545922312</v>
      </c>
      <c r="C19" s="3" t="s">
        <v>39</v>
      </c>
      <c r="D19" s="3"/>
      <c r="E19" s="3"/>
      <c r="F19" s="3"/>
      <c r="G19" s="3" t="s">
        <v>267</v>
      </c>
    </row>
    <row r="20" spans="1:7" ht="15" customHeight="1" x14ac:dyDescent="0.15">
      <c r="A20" s="3" t="s">
        <v>268</v>
      </c>
      <c r="B20" s="20">
        <f>B18*B19</f>
        <v>316449.58559681039</v>
      </c>
      <c r="C20" s="3" t="s">
        <v>39</v>
      </c>
      <c r="D20" s="3"/>
      <c r="E20" s="3"/>
      <c r="F20" s="3"/>
      <c r="G20" s="3"/>
    </row>
    <row r="21" spans="1:7" ht="15" customHeight="1" x14ac:dyDescent="0.15">
      <c r="A21" s="3" t="s">
        <v>269</v>
      </c>
      <c r="B21" s="31">
        <f>(B20-WACC!B13+'Historical Financials'!G15)/G14</f>
        <v>291.88712018541048</v>
      </c>
      <c r="C21" s="3" t="s">
        <v>34</v>
      </c>
      <c r="D21" s="3"/>
      <c r="E21" s="3"/>
      <c r="F21" s="3"/>
      <c r="G21" s="3" t="s">
        <v>270</v>
      </c>
    </row>
    <row r="22" spans="1:7" ht="45.75" customHeight="1" x14ac:dyDescent="0.15">
      <c r="A22" s="3" t="s">
        <v>271</v>
      </c>
      <c r="B22" s="9">
        <v>9.5</v>
      </c>
      <c r="C22" s="3"/>
      <c r="D22" s="3" t="s">
        <v>272</v>
      </c>
      <c r="E22" s="3"/>
      <c r="F22" s="3"/>
      <c r="G22" s="3"/>
    </row>
    <row r="23" spans="1:7" ht="15" customHeight="1" x14ac:dyDescent="0.15">
      <c r="A23" s="3" t="s">
        <v>273</v>
      </c>
      <c r="B23" s="32">
        <f>Forecast!G5</f>
        <v>21141.69545922312</v>
      </c>
      <c r="C23" s="3" t="s">
        <v>39</v>
      </c>
      <c r="D23" s="3"/>
      <c r="E23" s="3"/>
      <c r="F23" s="3"/>
      <c r="G23" s="3"/>
    </row>
    <row r="24" spans="1:7" ht="15" customHeight="1" x14ac:dyDescent="0.15">
      <c r="A24" s="3" t="s">
        <v>268</v>
      </c>
      <c r="B24" s="3">
        <f>B22*B23</f>
        <v>200846.10686261964</v>
      </c>
      <c r="C24" s="3" t="s">
        <v>39</v>
      </c>
      <c r="D24" s="3"/>
      <c r="E24" s="3"/>
      <c r="F24" s="3"/>
      <c r="G24" s="3"/>
    </row>
    <row r="25" spans="1:7" ht="15" customHeight="1" x14ac:dyDescent="0.15">
      <c r="A25" s="3" t="s">
        <v>274</v>
      </c>
      <c r="B25" s="8">
        <f>(B24-WACC!B13+'Historical Financials'!G15)/G14</f>
        <v>182.3564863997498</v>
      </c>
      <c r="C25" s="3" t="s">
        <v>34</v>
      </c>
      <c r="D25" s="3"/>
      <c r="E25" s="3"/>
      <c r="F25" s="3"/>
      <c r="G25" s="3"/>
    </row>
  </sheetData>
  <mergeCells count="1">
    <mergeCell ref="A1:G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8"/>
  <sheetViews>
    <sheetView showGridLines="0" zoomScale="125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H1"/>
    </sheetView>
  </sheetViews>
  <sheetFormatPr baseColWidth="10" defaultColWidth="8.6640625" defaultRowHeight="15" customHeight="1" x14ac:dyDescent="0.15"/>
  <cols>
    <col min="1" max="1" width="18" customWidth="1"/>
    <col min="2" max="6" width="16" customWidth="1"/>
    <col min="7" max="7" width="10" customWidth="1"/>
    <col min="8" max="8" width="24" customWidth="1"/>
    <col min="9" max="9" width="58" customWidth="1"/>
  </cols>
  <sheetData>
    <row r="1" spans="1:9" ht="25.5" customHeight="1" x14ac:dyDescent="0.15">
      <c r="A1" s="2" t="s">
        <v>275</v>
      </c>
      <c r="B1" s="2"/>
      <c r="C1" s="2"/>
      <c r="D1" s="2"/>
      <c r="E1" s="2"/>
      <c r="F1" s="2"/>
      <c r="G1" s="2"/>
      <c r="H1" s="2"/>
      <c r="I1" s="33"/>
    </row>
    <row r="2" spans="1:9" ht="15" customHeight="1" x14ac:dyDescent="0.15">
      <c r="A2" s="3"/>
      <c r="B2" s="3"/>
      <c r="C2" s="3"/>
      <c r="D2" s="3"/>
      <c r="E2" s="3"/>
      <c r="F2" s="3"/>
      <c r="G2" s="3"/>
      <c r="H2" s="3"/>
      <c r="I2" s="3"/>
    </row>
    <row r="3" spans="1:9" ht="15" customHeight="1" x14ac:dyDescent="0.15">
      <c r="A3" s="34" t="s">
        <v>276</v>
      </c>
      <c r="B3" s="35">
        <v>0.02</v>
      </c>
      <c r="C3" s="35">
        <v>2.5000000000000001E-2</v>
      </c>
      <c r="D3" s="35">
        <v>0.03</v>
      </c>
      <c r="E3" s="35">
        <v>3.5000000000000003E-2</v>
      </c>
      <c r="F3" s="35">
        <v>0.04</v>
      </c>
      <c r="G3" s="3"/>
      <c r="H3" s="36" t="s">
        <v>277</v>
      </c>
      <c r="I3" s="36" t="s">
        <v>28</v>
      </c>
    </row>
    <row r="4" spans="1:9" ht="15" customHeight="1" x14ac:dyDescent="0.15">
      <c r="A4" s="6">
        <v>0.1</v>
      </c>
      <c r="B4" s="31">
        <f>(DCF!$B$3/(1+$A4)^1+DCF!$C$3/(1+$A4)^2+DCF!$D$3/(1+$A4)^3+DCF!$E$3/(1+$A4)^4+DCF!$F$3/(1+$A4)^5+DCF!$F$3*(1+B$3)/($A4-B$3)/(1+$A4)^5-WACC!$B$13+'Historical Financials'!G15)/DCF!$G$14</f>
        <v>76.596684980685708</v>
      </c>
      <c r="C4" s="31">
        <f>(DCF!$B$3/(1+$A4)^1+DCF!$C$3/(1+$A4)^2+DCF!$D$3/(1+$A4)^3+DCF!$E$3/(1+$A4)^4+DCF!$F$3/(1+$A4)^5+DCF!$F$3*(1+C$3)/($A4-C$3)/(1+$A4)^5-WACC!$B$13+'Historical Financials'!G15)/DCF!$G$14</f>
        <v>81.023301736101075</v>
      </c>
      <c r="D4" s="31">
        <f>(DCF!$B$3/(1+$A4)^1+DCF!$C$3/(1+$A4)^2+DCF!$D$3/(1+$A4)^3+DCF!$E$3/(1+$A4)^4+DCF!$F$3/(1+$A4)^5+DCF!$F$3*(1+D$3)/($A4-D$3)/(1+$A4)^5-WACC!$B$13+'Historical Financials'!G15)/DCF!$G$14</f>
        <v>86.082292313718639</v>
      </c>
      <c r="E4" s="31">
        <f>(DCF!$B$3/(1+$A4)^1+DCF!$C$3/(1+$A4)^2+DCF!$D$3/(1+$A4)^3+DCF!$E$3/(1+$A4)^4+DCF!$F$3/(1+$A4)^5+DCF!$F$3*(1+E$3)/($A4-E$3)/(1+$A4)^5-WACC!$B$13+'Historical Financials'!G15)/DCF!$G$14</f>
        <v>91.919589134046603</v>
      </c>
      <c r="F4" s="31">
        <f>(DCF!$B$3/(1+$A4)^1+DCF!$C$3/(1+$A4)^2+DCF!$D$3/(1+$A4)^3+DCF!$E$3/(1+$A4)^4+DCF!$F$3/(1+$A4)^5+DCF!$F$3*(1+F$3)/($A4-F$3)/(1+$A4)^5-WACC!$B$13+'Historical Financials'!G15)/DCF!$G$14</f>
        <v>98.729768757762557</v>
      </c>
      <c r="G4" s="3"/>
      <c r="H4" s="17" t="s">
        <v>278</v>
      </c>
      <c r="I4" s="17">
        <f>DCF!G15</f>
        <v>62.433452489044974</v>
      </c>
    </row>
    <row r="5" spans="1:9" ht="15" customHeight="1" x14ac:dyDescent="0.15">
      <c r="A5" s="6">
        <v>0.11</v>
      </c>
      <c r="B5" s="31">
        <f>(DCF!$B$3/(1+$A5)^1+DCF!$C$3/(1+$A5)^2+DCF!$D$3/(1+$A5)^3+DCF!$E$3/(1+$A5)^4+DCF!$F$3/(1+$A5)^5+DCF!$F$3*(1+B$3)/($A5-B$3)/(1+$A5)^5-WACC!$B$13+'Historical Financials'!G15)/DCF!$G$14</f>
        <v>66.708448784509486</v>
      </c>
      <c r="C5" s="31">
        <f>(DCF!$B$3/(1+$A5)^1+DCF!$C$3/(1+$A5)^2+DCF!$D$3/(1+$A5)^3+DCF!$E$3/(1+$A5)^4+DCF!$F$3/(1+$A5)^5+DCF!$F$3*(1+C$3)/($A5-C$3)/(1+$A5)^5-WACC!$B$13+'Historical Financials'!G15)/DCF!$G$14</f>
        <v>70.056873695662546</v>
      </c>
      <c r="D5" s="31">
        <f>(DCF!$B$3/(1+$A5)^1+DCF!$C$3/(1+$A5)^2+DCF!$D$3/(1+$A5)^3+DCF!$E$3/(1+$A5)^4+DCF!$F$3/(1+$A5)^5+DCF!$F$3*(1+D$3)/($A5-D$3)/(1+$A5)^5-WACC!$B$13+'Historical Financials'!G15)/DCF!$G$14</f>
        <v>73.823851720709754</v>
      </c>
      <c r="E5" s="31">
        <f>(DCF!$B$3/(1+$A5)^1+DCF!$C$3/(1+$A5)^2+DCF!$D$3/(1+$A5)^3+DCF!$E$3/(1+$A5)^4+DCF!$F$3/(1+$A5)^5+DCF!$F$3*(1+E$3)/($A5-E$3)/(1+$A5)^5-WACC!$B$13+'Historical Financials'!G15)/DCF!$G$14</f>
        <v>78.093093482429907</v>
      </c>
      <c r="F5" s="31">
        <f>(DCF!$B$3/(1+$A5)^1+DCF!$C$3/(1+$A5)^2+DCF!$D$3/(1+$A5)^3+DCF!$E$3/(1+$A5)^4+DCF!$F$3/(1+$A5)^5+DCF!$F$3*(1+F$3)/($A5-F$3)/(1+$A5)^5-WACC!$B$13+'Historical Financials'!G15)/DCF!$G$14</f>
        <v>82.972226924395784</v>
      </c>
      <c r="G5" s="3"/>
      <c r="H5" s="17" t="s">
        <v>279</v>
      </c>
      <c r="I5" s="17">
        <f>'Scenario Analysis'!B8</f>
        <v>9.8000000000000004E-2</v>
      </c>
    </row>
    <row r="6" spans="1:9" ht="15" customHeight="1" x14ac:dyDescent="0.15">
      <c r="A6" s="6">
        <v>0.12</v>
      </c>
      <c r="B6" s="31">
        <f>(DCF!$B$3/(1+$A6)^1+DCF!$C$3/(1+$A6)^2+DCF!$D$3/(1+$A6)^3+DCF!$E$3/(1+$A6)^4+DCF!$F$3/(1+$A6)^5+DCF!$F$3*(1+B$3)/($A6-B$3)/(1+$A6)^5-WACC!$B$13+'Historical Financials'!G15)/DCF!$G$14</f>
        <v>58.813283075729949</v>
      </c>
      <c r="C6" s="31">
        <f>(DCF!$B$3/(1+$A6)^1+DCF!$C$3/(1+$A6)^2+DCF!$D$3/(1+$A6)^3+DCF!$E$3/(1+$A6)^4+DCF!$F$3/(1+$A6)^5+DCF!$F$3*(1+C$3)/($A6-C$3)/(1+$A6)^5-WACC!$B$13+'Historical Financials'!G15)/DCF!$G$14</f>
        <v>61.414629662116823</v>
      </c>
      <c r="D6" s="31">
        <f>(DCF!$B$3/(1+$A6)^1+DCF!$C$3/(1+$A6)^2+DCF!$D$3/(1+$A6)^3+DCF!$E$3/(1+$A6)^4+DCF!$F$3/(1+$A6)^5+DCF!$F$3*(1+D$3)/($A6-D$3)/(1+$A6)^5-WACC!$B$13+'Historical Financials'!G15)/DCF!$G$14</f>
        <v>64.305014758102246</v>
      </c>
      <c r="E6" s="31">
        <f>(DCF!$B$3/(1+$A6)^1+DCF!$C$3/(1+$A6)^2+DCF!$D$3/(1+$A6)^3+DCF!$E$3/(1+$A6)^4+DCF!$F$3/(1+$A6)^5+DCF!$F$3*(1+E$3)/($A6-E$3)/(1+$A6)^5-WACC!$B$13+'Historical Financials'!G15)/DCF!$G$14</f>
        <v>67.535445159497726</v>
      </c>
      <c r="F6" s="31">
        <f>(DCF!$B$3/(1+$A6)^1+DCF!$C$3/(1+$A6)^2+DCF!$D$3/(1+$A6)^3+DCF!$E$3/(1+$A6)^4+DCF!$F$3/(1+$A6)^5+DCF!$F$3*(1+F$3)/($A6-F$3)/(1+$A6)^5-WACC!$B$13+'Historical Financials'!G15)/DCF!$G$14</f>
        <v>71.169679361067637</v>
      </c>
      <c r="G6" s="3"/>
      <c r="H6" s="17" t="s">
        <v>280</v>
      </c>
      <c r="I6" s="17">
        <f>'Scenario Analysis'!D8</f>
        <v>0.11700000000000001</v>
      </c>
    </row>
    <row r="7" spans="1:9" ht="15" customHeight="1" x14ac:dyDescent="0.15">
      <c r="A7" s="6">
        <v>0.13</v>
      </c>
      <c r="B7" s="31">
        <f>(DCF!$B$3/(1+$A7)^1+DCF!$C$3/(1+$A7)^2+DCF!$D$3/(1+$A7)^3+DCF!$E$3/(1+$A7)^4+DCF!$F$3/(1+$A7)^5+DCF!$F$3*(1+B$3)/($A7-B$3)/(1+$A7)^5-WACC!$B$13+'Historical Financials'!G15)/DCF!$G$14</f>
        <v>52.36698771093409</v>
      </c>
      <c r="C7" s="31">
        <f>(DCF!$B$3/(1+$A7)^1+DCF!$C$3/(1+$A7)^2+DCF!$D$3/(1+$A7)^3+DCF!$E$3/(1+$A7)^4+DCF!$F$3/(1+$A7)^5+DCF!$F$3*(1+C$3)/($A7-C$3)/(1+$A7)^5-WACC!$B$13+'Historical Financials'!G15)/DCF!$G$14</f>
        <v>54.431883584596527</v>
      </c>
      <c r="D7" s="31">
        <f>(DCF!$B$3/(1+$A7)^1+DCF!$C$3/(1+$A7)^2+DCF!$D$3/(1+$A7)^3+DCF!$E$3/(1+$A7)^4+DCF!$F$3/(1+$A7)^5+DCF!$F$3*(1+D$3)/($A7-D$3)/(1+$A7)^5-WACC!$B$13+'Historical Financials'!G15)/DCF!$G$14</f>
        <v>56.703269045625206</v>
      </c>
      <c r="E7" s="31">
        <f>(DCF!$B$3/(1+$A7)^1+DCF!$C$3/(1+$A7)^2+DCF!$D$3/(1+$A7)^3+DCF!$E$3/(1+$A7)^4+DCF!$F$3/(1+$A7)^5+DCF!$F$3*(1+E$3)/($A7-E$3)/(1+$A7)^5-WACC!$B$13+'Historical Financials'!G15)/DCF!$G$14</f>
        <v>59.21374771307795</v>
      </c>
      <c r="F7" s="31">
        <f>(DCF!$B$3/(1+$A7)^1+DCF!$C$3/(1+$A7)^2+DCF!$D$3/(1+$A7)^3+DCF!$E$3/(1+$A7)^4+DCF!$F$3/(1+$A7)^5+DCF!$F$3*(1+F$3)/($A7-F$3)/(1+$A7)^5-WACC!$B$13+'Historical Financials'!G15)/DCF!$G$14</f>
        <v>62.003168454692108</v>
      </c>
      <c r="G7" s="3"/>
      <c r="H7" s="17" t="s">
        <v>281</v>
      </c>
      <c r="I7" s="17">
        <f>Assumptions!B3</f>
        <v>162.71</v>
      </c>
    </row>
    <row r="8" spans="1:9" ht="27.75" customHeight="1" x14ac:dyDescent="0.15">
      <c r="A8" s="6">
        <v>0.14000000000000001</v>
      </c>
      <c r="B8" s="31">
        <f>(DCF!$B$3/(1+$A8)^1+DCF!$C$3/(1+$A8)^2+DCF!$D$3/(1+$A8)^3+DCF!$E$3/(1+$A8)^4+DCF!$F$3/(1+$A8)^5+DCF!$F$3*(1+B$3)/($A8-B$3)/(1+$A8)^5-WACC!$B$13+'Historical Financials'!G15)/DCF!$G$14</f>
        <v>47.006794615050957</v>
      </c>
      <c r="C8" s="31">
        <f>(DCF!$B$3/(1+$A8)^1+DCF!$C$3/(1+$A8)^2+DCF!$D$3/(1+$A8)^3+DCF!$E$3/(1+$A8)^4+DCF!$F$3/(1+$A8)^5+DCF!$F$3*(1+C$3)/($A8-C$3)/(1+$A8)^5-WACC!$B$13+'Historical Financials'!G15)/DCF!$G$14</f>
        <v>48.675176335327272</v>
      </c>
      <c r="D8" s="31">
        <f>(DCF!$B$3/(1+$A8)^1+DCF!$C$3/(1+$A8)^2+DCF!$D$3/(1+$A8)^3+DCF!$E$3/(1+$A8)^4+DCF!$F$3/(1+$A8)^5+DCF!$F$3*(1+D$3)/($A8-D$3)/(1+$A8)^5-WACC!$B$13+'Historical Financials'!G15)/DCF!$G$14</f>
        <v>50.495229121083263</v>
      </c>
      <c r="E8" s="31">
        <f>(DCF!$B$3/(1+$A8)^1+DCF!$C$3/(1+$A8)^2+DCF!$D$3/(1+$A8)^3+DCF!$E$3/(1+$A8)^4+DCF!$F$3/(1+$A8)^5+DCF!$F$3*(1+E$3)/($A8-E$3)/(1+$A8)^5-WACC!$B$13+'Historical Financials'!G15)/DCF!$G$14</f>
        <v>52.488620267387439</v>
      </c>
      <c r="F8" s="31">
        <f>(DCF!$B$3/(1+$A8)^1+DCF!$C$3/(1+$A8)^2+DCF!$D$3/(1+$A8)^3+DCF!$E$3/(1+$A8)^4+DCF!$F$3/(1+$A8)^5+DCF!$F$3*(1+F$3)/($A8-F$3)/(1+$A8)^5-WACC!$B$13+'Historical Financials'!G15)/DCF!$G$14</f>
        <v>54.681350528322042</v>
      </c>
      <c r="G8" s="3"/>
      <c r="H8" s="17" t="s">
        <v>282</v>
      </c>
      <c r="I8" s="17" t="s">
        <v>283</v>
      </c>
    </row>
  </sheetData>
  <mergeCells count="1">
    <mergeCell ref="A1:H1"/>
  </mergeCells>
  <conditionalFormatting sqref="B4:F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0" sqref="G20"/>
    </sheetView>
  </sheetViews>
  <sheetFormatPr baseColWidth="10" defaultColWidth="8.6640625" defaultRowHeight="15" customHeight="1" x14ac:dyDescent="0.15"/>
  <cols>
    <col min="1" max="1" width="24" style="41" customWidth="1"/>
    <col min="2" max="3" width="16" style="41" customWidth="1"/>
    <col min="4" max="4" width="14" style="41" customWidth="1"/>
    <col min="5" max="6" width="16" style="41" customWidth="1"/>
    <col min="7" max="7" width="50.6640625" style="41" customWidth="1"/>
    <col min="8" max="8" width="62.6640625" style="41" customWidth="1"/>
    <col min="9" max="16384" width="8.6640625" style="41"/>
  </cols>
  <sheetData>
    <row r="1" spans="1:8" ht="25.5" customHeight="1" x14ac:dyDescent="0.15">
      <c r="A1" s="2" t="s">
        <v>284</v>
      </c>
      <c r="B1" s="2"/>
      <c r="C1" s="2"/>
      <c r="D1" s="2"/>
      <c r="E1" s="2"/>
      <c r="F1" s="2"/>
      <c r="G1" s="2"/>
      <c r="H1" s="2"/>
    </row>
    <row r="2" spans="1:8" ht="15" customHeight="1" x14ac:dyDescent="0.15">
      <c r="A2" s="52" t="s">
        <v>285</v>
      </c>
      <c r="B2" s="52" t="s">
        <v>286</v>
      </c>
      <c r="C2" s="52" t="s">
        <v>287</v>
      </c>
      <c r="D2" s="52" t="s">
        <v>288</v>
      </c>
      <c r="E2" s="52" t="s">
        <v>289</v>
      </c>
      <c r="F2" s="52" t="s">
        <v>290</v>
      </c>
      <c r="G2" s="52" t="s">
        <v>291</v>
      </c>
      <c r="H2" s="52" t="s">
        <v>32</v>
      </c>
    </row>
    <row r="3" spans="1:8" ht="15" customHeight="1" x14ac:dyDescent="0.15">
      <c r="A3" s="43" t="s">
        <v>292</v>
      </c>
      <c r="B3" s="62">
        <v>169399</v>
      </c>
      <c r="C3" s="62">
        <f>B3+'Historical Financials'!G14-'Historical Financials'!G15</f>
        <v>177778</v>
      </c>
      <c r="D3" s="72">
        <v>38.700000000000003</v>
      </c>
      <c r="E3" s="72">
        <f>C3/'Historical Financials'!G3</f>
        <v>1.4097728858719787</v>
      </c>
      <c r="F3" s="72">
        <f>C3/'Historical Financials'!G5</f>
        <v>14.77420427158647</v>
      </c>
      <c r="G3" s="43" t="s">
        <v>293</v>
      </c>
      <c r="H3" s="43" t="s">
        <v>294</v>
      </c>
    </row>
    <row r="4" spans="1:8" ht="15" customHeight="1" x14ac:dyDescent="0.15">
      <c r="A4" s="43" t="s">
        <v>237</v>
      </c>
      <c r="B4" s="62">
        <v>71066</v>
      </c>
      <c r="C4" s="62">
        <v>73876</v>
      </c>
      <c r="D4" s="72">
        <v>59.45</v>
      </c>
      <c r="E4" s="72">
        <v>3.58</v>
      </c>
      <c r="F4" s="72">
        <v>29.54</v>
      </c>
      <c r="G4" s="43" t="s">
        <v>295</v>
      </c>
      <c r="H4" s="43" t="s">
        <v>296</v>
      </c>
    </row>
    <row r="5" spans="1:8" ht="15" customHeight="1" x14ac:dyDescent="0.15">
      <c r="A5" s="43" t="s">
        <v>243</v>
      </c>
      <c r="B5" s="62">
        <v>21365.5</v>
      </c>
      <c r="C5" s="62">
        <v>103193.2</v>
      </c>
      <c r="D5" s="72"/>
      <c r="E5" s="72">
        <v>0.44</v>
      </c>
      <c r="F5" s="72">
        <v>4.21</v>
      </c>
      <c r="G5" s="43" t="s">
        <v>297</v>
      </c>
      <c r="H5" s="43" t="s">
        <v>298</v>
      </c>
    </row>
    <row r="6" spans="1:8" ht="15" customHeight="1" x14ac:dyDescent="0.15">
      <c r="A6" s="43" t="s">
        <v>239</v>
      </c>
      <c r="B6" s="62">
        <v>90076.6</v>
      </c>
      <c r="C6" s="62">
        <v>136726.79999999999</v>
      </c>
      <c r="D6" s="72">
        <v>21.83</v>
      </c>
      <c r="E6" s="72">
        <v>0.71</v>
      </c>
      <c r="F6" s="72">
        <v>4.4800000000000004</v>
      </c>
      <c r="G6" s="43" t="s">
        <v>299</v>
      </c>
      <c r="H6" s="43" t="s">
        <v>300</v>
      </c>
    </row>
    <row r="7" spans="1:8" ht="15" customHeight="1" x14ac:dyDescent="0.15">
      <c r="A7" s="43" t="s">
        <v>241</v>
      </c>
      <c r="B7" s="62">
        <v>60493.599999999999</v>
      </c>
      <c r="C7" s="62">
        <v>83344.600000000006</v>
      </c>
      <c r="D7" s="72">
        <v>12.05</v>
      </c>
      <c r="E7" s="72">
        <v>0.37</v>
      </c>
      <c r="F7" s="72">
        <v>5.16</v>
      </c>
      <c r="G7" s="43" t="s">
        <v>301</v>
      </c>
      <c r="H7" s="43" t="s">
        <v>302</v>
      </c>
    </row>
    <row r="8" spans="1:8" ht="15" customHeight="1" x14ac:dyDescent="0.15">
      <c r="A8" s="43" t="s">
        <v>303</v>
      </c>
      <c r="B8" s="43">
        <f>MEDIAN(B4:B7)</f>
        <v>65779.8</v>
      </c>
      <c r="C8" s="43">
        <f>MEDIAN(C4:C7)</f>
        <v>93268.9</v>
      </c>
      <c r="D8" s="57">
        <f>MEDIAN(D4:D7)</f>
        <v>21.83</v>
      </c>
      <c r="E8" s="57">
        <f>MEDIAN(E4:E7)</f>
        <v>0.57499999999999996</v>
      </c>
      <c r="F8" s="57">
        <f>MEDIAN(F4:F7)</f>
        <v>4.82</v>
      </c>
      <c r="G8" s="43" t="s">
        <v>304</v>
      </c>
      <c r="H8" s="43" t="s">
        <v>305</v>
      </c>
    </row>
    <row r="9" spans="1:8" ht="15" customHeight="1" x14ac:dyDescent="0.15">
      <c r="A9" s="73" t="s">
        <v>306</v>
      </c>
      <c r="B9" s="43"/>
      <c r="C9" s="43"/>
      <c r="D9" s="43"/>
      <c r="E9" s="43"/>
      <c r="F9" s="43"/>
      <c r="G9" s="43"/>
      <c r="H9" s="43"/>
    </row>
    <row r="10" spans="1:8" ht="15" customHeight="1" x14ac:dyDescent="0.15">
      <c r="A10" s="68" t="s">
        <v>307</v>
      </c>
      <c r="B10" s="43"/>
      <c r="C10" s="43"/>
      <c r="D10" s="43"/>
      <c r="E10" s="43"/>
      <c r="F10" s="43"/>
      <c r="G10" s="43"/>
      <c r="H10" s="43"/>
    </row>
    <row r="11" spans="1:8" ht="15" customHeight="1" x14ac:dyDescent="0.15">
      <c r="A11" s="68" t="s">
        <v>308</v>
      </c>
      <c r="B11" s="43"/>
      <c r="C11" s="43"/>
      <c r="D11" s="43"/>
      <c r="E11" s="43"/>
      <c r="F11" s="43"/>
      <c r="G11" s="43"/>
      <c r="H11" s="43"/>
    </row>
    <row r="12" spans="1:8" ht="15" customHeight="1" x14ac:dyDescent="0.15">
      <c r="A12" s="68" t="s">
        <v>309</v>
      </c>
      <c r="B12" s="43"/>
      <c r="C12" s="43"/>
      <c r="D12" s="43"/>
      <c r="E12" s="43"/>
      <c r="F12" s="43"/>
      <c r="G12" s="43"/>
      <c r="H12" s="43"/>
    </row>
  </sheetData>
  <autoFilter ref="A2:H12" xr:uid="{00000000-0009-0000-0000-00000C000000}"/>
  <mergeCells count="1">
    <mergeCell ref="A1:H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77"/>
  <sheetViews>
    <sheetView showGridLines="0" zoomScaleNormal="10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G4" sqref="G4"/>
    </sheetView>
  </sheetViews>
  <sheetFormatPr baseColWidth="10" defaultColWidth="8.6640625" defaultRowHeight="15" customHeight="1" x14ac:dyDescent="0.15"/>
  <cols>
    <col min="1" max="1" width="28" customWidth="1"/>
    <col min="2" max="4" width="15" customWidth="1"/>
    <col min="5" max="5" width="12" customWidth="1"/>
    <col min="6" max="8" width="55" customWidth="1"/>
    <col min="9" max="18" width="18" customWidth="1"/>
  </cols>
  <sheetData>
    <row r="1" spans="1:18" ht="25.5" customHeight="1" x14ac:dyDescent="0.15">
      <c r="A1" s="2" t="s">
        <v>310</v>
      </c>
      <c r="B1" s="2"/>
      <c r="C1" s="2"/>
      <c r="D1" s="2"/>
      <c r="E1" s="2"/>
      <c r="F1" s="2"/>
      <c r="G1" s="2"/>
      <c r="H1" s="2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5" customHeight="1" x14ac:dyDescent="0.15">
      <c r="A2" s="5" t="s">
        <v>163</v>
      </c>
      <c r="B2" s="5" t="s">
        <v>311</v>
      </c>
      <c r="C2" s="5" t="s">
        <v>312</v>
      </c>
      <c r="D2" s="5" t="s">
        <v>313</v>
      </c>
      <c r="E2" s="5" t="s">
        <v>29</v>
      </c>
      <c r="F2" s="5" t="s">
        <v>31</v>
      </c>
      <c r="G2" s="34"/>
      <c r="H2" s="34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15">
      <c r="A3" s="3" t="s">
        <v>314</v>
      </c>
      <c r="B3" s="14">
        <v>0.08</v>
      </c>
      <c r="C3" s="14">
        <v>0.1</v>
      </c>
      <c r="D3" s="14">
        <v>0.12</v>
      </c>
      <c r="E3" s="3" t="s">
        <v>44</v>
      </c>
      <c r="F3" s="17" t="s">
        <v>315</v>
      </c>
      <c r="G3" s="17"/>
      <c r="H3" s="10" t="s">
        <v>316</v>
      </c>
      <c r="I3" s="10" t="s">
        <v>28</v>
      </c>
      <c r="J3" s="3"/>
      <c r="K3" s="3"/>
      <c r="L3" s="3"/>
      <c r="M3" s="3"/>
      <c r="N3" s="3"/>
      <c r="O3" s="3"/>
      <c r="P3" s="3"/>
      <c r="Q3" s="3"/>
      <c r="R3" s="3"/>
    </row>
    <row r="4" spans="1:18" ht="27.75" customHeight="1" x14ac:dyDescent="0.15">
      <c r="A4" s="3" t="s">
        <v>317</v>
      </c>
      <c r="B4" s="14">
        <v>7.0000000000000007E-2</v>
      </c>
      <c r="C4" s="14">
        <v>0.1</v>
      </c>
      <c r="D4" s="14">
        <v>0.11</v>
      </c>
      <c r="E4" s="3" t="s">
        <v>44</v>
      </c>
      <c r="F4" s="17"/>
      <c r="G4" s="17"/>
      <c r="H4" s="17" t="s">
        <v>318</v>
      </c>
      <c r="I4" s="3">
        <f>I19</f>
        <v>33.018297729447163</v>
      </c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15">
      <c r="A5" s="3" t="s">
        <v>319</v>
      </c>
      <c r="B5" s="14">
        <v>0.06</v>
      </c>
      <c r="C5" s="14">
        <v>0.09</v>
      </c>
      <c r="D5" s="14">
        <v>0.1</v>
      </c>
      <c r="E5" s="3" t="s">
        <v>44</v>
      </c>
      <c r="F5" s="17"/>
      <c r="G5" s="17"/>
      <c r="H5" s="17" t="s">
        <v>320</v>
      </c>
      <c r="I5" s="3">
        <f>I38</f>
        <v>62.433452489044974</v>
      </c>
      <c r="J5" s="3"/>
      <c r="K5" s="3"/>
      <c r="L5" s="3"/>
      <c r="M5" s="3"/>
      <c r="N5" s="3"/>
      <c r="O5" s="3"/>
      <c r="P5" s="3"/>
      <c r="Q5" s="3"/>
      <c r="R5" s="3"/>
    </row>
    <row r="6" spans="1:18" ht="15" customHeight="1" x14ac:dyDescent="0.15">
      <c r="A6" s="3" t="s">
        <v>321</v>
      </c>
      <c r="B6" s="14">
        <v>0.05</v>
      </c>
      <c r="C6" s="14">
        <v>0.08</v>
      </c>
      <c r="D6" s="14">
        <v>0.09</v>
      </c>
      <c r="E6" s="3" t="s">
        <v>44</v>
      </c>
      <c r="F6" s="17"/>
      <c r="G6" s="17"/>
      <c r="H6" s="17" t="s">
        <v>322</v>
      </c>
      <c r="I6" s="3">
        <f>I57</f>
        <v>90.827917840481177</v>
      </c>
      <c r="J6" s="3"/>
      <c r="K6" s="3"/>
      <c r="L6" s="3"/>
      <c r="M6" s="3"/>
      <c r="N6" s="3"/>
      <c r="O6" s="3"/>
      <c r="P6" s="3"/>
      <c r="Q6" s="3"/>
      <c r="R6" s="3"/>
    </row>
    <row r="7" spans="1:18" ht="15" customHeight="1" x14ac:dyDescent="0.15">
      <c r="A7" s="3" t="s">
        <v>323</v>
      </c>
      <c r="B7" s="14">
        <v>0.05</v>
      </c>
      <c r="C7" s="14">
        <v>7.0000000000000007E-2</v>
      </c>
      <c r="D7" s="14">
        <v>0.08</v>
      </c>
      <c r="E7" s="3" t="s">
        <v>44</v>
      </c>
      <c r="F7" s="17"/>
      <c r="G7" s="17"/>
      <c r="H7" s="17" t="s">
        <v>324</v>
      </c>
      <c r="I7" s="8">
        <f>Assumptions!B3</f>
        <v>162.71</v>
      </c>
      <c r="J7" s="3"/>
      <c r="K7" s="3"/>
      <c r="L7" s="3"/>
      <c r="M7" s="3"/>
      <c r="N7" s="3"/>
      <c r="O7" s="3"/>
      <c r="P7" s="3"/>
      <c r="Q7" s="3"/>
      <c r="R7" s="3"/>
    </row>
    <row r="8" spans="1:18" ht="27.75" customHeight="1" x14ac:dyDescent="0.15">
      <c r="A8" s="3" t="s">
        <v>325</v>
      </c>
      <c r="B8" s="14">
        <v>9.8000000000000004E-2</v>
      </c>
      <c r="C8" s="14">
        <v>0.11</v>
      </c>
      <c r="D8" s="14">
        <v>0.11700000000000001</v>
      </c>
      <c r="E8" s="3" t="s">
        <v>44</v>
      </c>
      <c r="F8" s="17" t="s">
        <v>326</v>
      </c>
      <c r="G8" s="17"/>
      <c r="H8" s="17" t="s">
        <v>327</v>
      </c>
      <c r="I8" s="3">
        <f>DCF!G17</f>
        <v>-0.61629000990077454</v>
      </c>
      <c r="J8" s="3"/>
      <c r="K8" s="3"/>
      <c r="L8" s="3"/>
      <c r="M8" s="3"/>
      <c r="N8" s="3"/>
      <c r="O8" s="3"/>
      <c r="P8" s="3"/>
      <c r="Q8" s="3"/>
      <c r="R8" s="3"/>
    </row>
    <row r="9" spans="1:18" ht="15" customHeight="1" x14ac:dyDescent="0.15">
      <c r="A9" s="3" t="s">
        <v>66</v>
      </c>
      <c r="B9" s="11">
        <v>3.9E-2</v>
      </c>
      <c r="C9" s="11">
        <v>3.6999999999999998E-2</v>
      </c>
      <c r="D9" s="11">
        <v>3.5999999999999997E-2</v>
      </c>
      <c r="E9" s="3" t="s">
        <v>44</v>
      </c>
      <c r="F9" s="3"/>
      <c r="G9" s="3"/>
      <c r="H9" s="3" t="s">
        <v>328</v>
      </c>
      <c r="I9" s="25">
        <f>Assumptions!B16</f>
        <v>14.968032540585973</v>
      </c>
      <c r="J9" s="3"/>
      <c r="K9" s="3"/>
      <c r="L9" s="3"/>
      <c r="M9" s="3"/>
      <c r="N9" s="3"/>
      <c r="O9" s="3"/>
      <c r="P9" s="3"/>
      <c r="Q9" s="3"/>
      <c r="R9" s="3"/>
    </row>
    <row r="10" spans="1:18" ht="15" customHeight="1" x14ac:dyDescent="0.15">
      <c r="A10" s="3" t="s">
        <v>69</v>
      </c>
      <c r="B10" s="11">
        <v>0.05</v>
      </c>
      <c r="C10" s="11">
        <v>4.4999999999999998E-2</v>
      </c>
      <c r="D10" s="11">
        <v>4.2000000000000003E-2</v>
      </c>
      <c r="E10" s="3" t="s">
        <v>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23.25" customHeight="1" x14ac:dyDescent="0.15">
      <c r="A11" s="3" t="s">
        <v>72</v>
      </c>
      <c r="B11" s="11">
        <v>0.04</v>
      </c>
      <c r="C11" s="11">
        <v>3.5000000000000003E-2</v>
      </c>
      <c r="D11" s="11">
        <v>3.2000000000000001E-2</v>
      </c>
      <c r="E11" s="3" t="s">
        <v>44</v>
      </c>
      <c r="F11" s="3"/>
      <c r="G11" s="3"/>
      <c r="H11" s="3" t="s">
        <v>329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" customHeight="1" x14ac:dyDescent="0.15">
      <c r="A12" s="3" t="s">
        <v>12</v>
      </c>
      <c r="B12" s="11">
        <v>0.13500000000000001</v>
      </c>
      <c r="C12" s="11">
        <f>WACC!B16</f>
        <v>0.12947460519334886</v>
      </c>
      <c r="D12" s="11">
        <v>0.115</v>
      </c>
      <c r="E12" s="3" t="s">
        <v>44</v>
      </c>
      <c r="F12" s="3" t="s">
        <v>330</v>
      </c>
      <c r="G12" s="3"/>
      <c r="H12" s="3" t="s">
        <v>331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27.75" customHeight="1" x14ac:dyDescent="0.15">
      <c r="A13" s="24" t="s">
        <v>332</v>
      </c>
      <c r="B13" s="37">
        <v>0.03</v>
      </c>
      <c r="C13" s="37">
        <v>0.04</v>
      </c>
      <c r="D13" s="37">
        <v>0.04</v>
      </c>
      <c r="E13" s="24" t="s">
        <v>44</v>
      </c>
      <c r="F13" s="33"/>
      <c r="G13" s="3"/>
      <c r="H13" s="24" t="s">
        <v>333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" customHeight="1" x14ac:dyDescent="0.15">
      <c r="A14" s="5" t="s">
        <v>89</v>
      </c>
      <c r="B14" s="5" t="s">
        <v>80</v>
      </c>
      <c r="C14" s="5" t="s">
        <v>81</v>
      </c>
      <c r="D14" s="5" t="s">
        <v>82</v>
      </c>
      <c r="E14" s="5" t="s">
        <v>83</v>
      </c>
      <c r="F14" s="5" t="s">
        <v>84</v>
      </c>
      <c r="G14" s="3"/>
      <c r="H14" s="5" t="s">
        <v>334</v>
      </c>
      <c r="I14" s="5">
        <f>F24</f>
        <v>5220.6480496857594</v>
      </c>
      <c r="J14" s="3"/>
      <c r="K14" s="3"/>
      <c r="L14" s="3"/>
      <c r="M14" s="3"/>
      <c r="N14" s="3"/>
      <c r="O14" s="3"/>
      <c r="P14" s="3"/>
      <c r="Q14" s="3"/>
      <c r="R14" s="3"/>
    </row>
    <row r="15" spans="1:18" ht="15" customHeight="1" x14ac:dyDescent="0.15">
      <c r="A15" s="3" t="s">
        <v>96</v>
      </c>
      <c r="B15" s="3">
        <f>Forecast!B3*(1+B3)</f>
        <v>136191.96360000002</v>
      </c>
      <c r="C15" s="3">
        <f>B15*(1+B4)</f>
        <v>145725.40105200003</v>
      </c>
      <c r="D15" s="3">
        <f>C15*(1+B5)</f>
        <v>154468.92511512004</v>
      </c>
      <c r="E15" s="3">
        <f>D15*(1+B6)</f>
        <v>162192.37137087606</v>
      </c>
      <c r="F15" s="3">
        <f>E15*(1+B7)</f>
        <v>170301.98993941987</v>
      </c>
      <c r="G15" s="3"/>
      <c r="H15" s="3" t="s">
        <v>256</v>
      </c>
      <c r="I15" s="3">
        <f>F24*(1+B13)/(B12-B13)</f>
        <v>51212.071344536496</v>
      </c>
      <c r="J15" s="3"/>
      <c r="K15" s="3"/>
      <c r="L15" s="3"/>
      <c r="M15" s="3"/>
      <c r="N15" s="3"/>
      <c r="O15" s="3"/>
      <c r="P15" s="3"/>
      <c r="Q15" s="3"/>
      <c r="R15" s="3"/>
    </row>
    <row r="16" spans="1:18" ht="15" customHeight="1" x14ac:dyDescent="0.15">
      <c r="A16" s="3" t="s">
        <v>87</v>
      </c>
      <c r="B16" s="38">
        <f>Forecast!C6</f>
        <v>0.10199999999999999</v>
      </c>
      <c r="C16" s="39">
        <f>B8-(B8-Forecast!C6)*(5-1)/4</f>
        <v>0.10199999999999999</v>
      </c>
      <c r="D16" s="39">
        <f>B8-(B8-Forecast!C6)*(5-2)/4</f>
        <v>0.10099999999999999</v>
      </c>
      <c r="E16" s="39">
        <f>B8-(B8-Forecast!C6)*(5-3)/4</f>
        <v>0.1</v>
      </c>
      <c r="F16" s="39">
        <f>B8-(B8-Forecast!C6)*(5-4)/4</f>
        <v>9.9000000000000005E-2</v>
      </c>
      <c r="G16" s="3"/>
      <c r="H16" s="3" t="s">
        <v>335</v>
      </c>
      <c r="I16" s="3">
        <f>I15*F25</f>
        <v>27188.987446755778</v>
      </c>
      <c r="J16" s="3"/>
      <c r="K16" s="3"/>
      <c r="L16" s="3"/>
      <c r="M16" s="3"/>
      <c r="N16" s="3"/>
      <c r="O16" s="3"/>
      <c r="P16" s="3"/>
      <c r="Q16" s="3"/>
      <c r="R16" s="3"/>
    </row>
    <row r="17" spans="1:18" ht="15" customHeight="1" x14ac:dyDescent="0.15">
      <c r="A17" s="3" t="s">
        <v>119</v>
      </c>
      <c r="B17" s="3">
        <f>B15*B16</f>
        <v>13891.5802872</v>
      </c>
      <c r="C17" s="3">
        <f>C15*C16</f>
        <v>14863.990907304002</v>
      </c>
      <c r="D17" s="3">
        <f>D15*D16</f>
        <v>15601.361436627123</v>
      </c>
      <c r="E17" s="3">
        <f>E15*E16</f>
        <v>16219.237137087606</v>
      </c>
      <c r="F17" s="3">
        <f>F15*F16</f>
        <v>16859.897004002567</v>
      </c>
      <c r="G17" s="3"/>
      <c r="H17" s="3" t="s">
        <v>258</v>
      </c>
      <c r="I17" s="3">
        <f>SUM(B26:F26)+I16</f>
        <v>43227.97281681787</v>
      </c>
      <c r="J17" s="3"/>
      <c r="K17" s="3"/>
      <c r="L17" s="3"/>
      <c r="M17" s="3"/>
      <c r="N17" s="3"/>
      <c r="O17" s="3"/>
      <c r="P17" s="3"/>
      <c r="Q17" s="3"/>
      <c r="R17" s="3"/>
    </row>
    <row r="18" spans="1:18" ht="15" customHeight="1" x14ac:dyDescent="0.15">
      <c r="A18" s="3" t="s">
        <v>122</v>
      </c>
      <c r="B18" s="3">
        <f>B15*B9</f>
        <v>5311.486580400001</v>
      </c>
      <c r="C18" s="3">
        <f>C15*B9</f>
        <v>5683.2906410280011</v>
      </c>
      <c r="D18" s="3">
        <f>D15*B9</f>
        <v>6024.2880794896819</v>
      </c>
      <c r="E18" s="3">
        <f>E15*B9</f>
        <v>6325.5024834641663</v>
      </c>
      <c r="F18" s="3">
        <f>F15*B9</f>
        <v>6641.7776076373748</v>
      </c>
      <c r="G18" s="3"/>
      <c r="H18" s="3" t="s">
        <v>261</v>
      </c>
      <c r="I18" s="3">
        <f>I17-WACC!B13+'Historical Financials'!G15</f>
        <v>34848.97281681787</v>
      </c>
      <c r="J18" s="3"/>
      <c r="K18" s="3"/>
      <c r="L18" s="3"/>
      <c r="M18" s="3"/>
      <c r="N18" s="3"/>
      <c r="O18" s="3"/>
      <c r="P18" s="3"/>
      <c r="Q18" s="3"/>
      <c r="R18" s="3"/>
    </row>
    <row r="19" spans="1:18" ht="15" customHeight="1" x14ac:dyDescent="0.15">
      <c r="A19" s="3" t="s">
        <v>124</v>
      </c>
      <c r="B19" s="3">
        <f>B17-B18</f>
        <v>8580.0937067999985</v>
      </c>
      <c r="C19" s="3">
        <f>C17-C18</f>
        <v>9180.7002662760005</v>
      </c>
      <c r="D19" s="3">
        <f>D17-D18</f>
        <v>9577.0733571374403</v>
      </c>
      <c r="E19" s="3">
        <f>E17-E18</f>
        <v>9893.73465362344</v>
      </c>
      <c r="F19" s="3">
        <f>F17-F18</f>
        <v>10218.119396365193</v>
      </c>
      <c r="G19" s="3"/>
      <c r="H19" s="3" t="s">
        <v>263</v>
      </c>
      <c r="I19" s="8">
        <f>I18/Assumptions!B15</f>
        <v>33.018297729447163</v>
      </c>
      <c r="J19" s="3"/>
      <c r="K19" s="3"/>
      <c r="L19" s="3"/>
      <c r="M19" s="3"/>
      <c r="N19" s="3"/>
      <c r="O19" s="3"/>
      <c r="P19" s="3"/>
      <c r="Q19" s="3"/>
      <c r="R19" s="3"/>
    </row>
    <row r="20" spans="1:18" ht="15" customHeight="1" x14ac:dyDescent="0.15">
      <c r="A20" s="3" t="s">
        <v>179</v>
      </c>
      <c r="B20" s="3">
        <f>B19*(1-Assumptions!B10)</f>
        <v>6229.1480311367986</v>
      </c>
      <c r="C20" s="3">
        <f>C19*(1-Assumptions!B10)</f>
        <v>6665.1883933163763</v>
      </c>
      <c r="D20" s="3">
        <f>D19*(1-Assumptions!B10)</f>
        <v>6952.9552572817811</v>
      </c>
      <c r="E20" s="3">
        <f>E19*(1-Assumptions!B10)</f>
        <v>7182.8513585306173</v>
      </c>
      <c r="F20" s="3">
        <f>F19*(1-Assumptions!B10)</f>
        <v>7418.3546817611295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5" customHeight="1" x14ac:dyDescent="0.15">
      <c r="A21" s="3" t="s">
        <v>104</v>
      </c>
      <c r="B21" s="3">
        <f>B15*B10</f>
        <v>6809.5981800000009</v>
      </c>
      <c r="C21" s="3">
        <f>C15*B10</f>
        <v>7286.2700526000017</v>
      </c>
      <c r="D21" s="3">
        <f>D15*B10</f>
        <v>7723.4462557560028</v>
      </c>
      <c r="E21" s="3">
        <f>E15*B10</f>
        <v>8109.6185685438031</v>
      </c>
      <c r="F21" s="3">
        <f>F15*B10</f>
        <v>8515.0994969709936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5" customHeight="1" x14ac:dyDescent="0.15">
      <c r="A22" s="3" t="s">
        <v>132</v>
      </c>
      <c r="B22" s="3">
        <f>B15*B11</f>
        <v>5447.6785440000012</v>
      </c>
      <c r="C22" s="3">
        <f>C15*B11</f>
        <v>5829.0160420800012</v>
      </c>
      <c r="D22" s="3">
        <f>D15*B11</f>
        <v>6178.7570046048022</v>
      </c>
      <c r="E22" s="3">
        <f>E15*B11</f>
        <v>6487.6948548350429</v>
      </c>
      <c r="F22" s="3">
        <f>F15*B11</f>
        <v>6812.0795975767951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" customHeight="1" x14ac:dyDescent="0.15">
      <c r="A23" s="3" t="s">
        <v>182</v>
      </c>
      <c r="B23" s="3">
        <f>B22-Forecast!B12</f>
        <v>1084.6785440000012</v>
      </c>
      <c r="C23" s="3">
        <f>C22-B22</f>
        <v>381.33749807999993</v>
      </c>
      <c r="D23" s="3">
        <f>D22-C22</f>
        <v>349.74096252480103</v>
      </c>
      <c r="E23" s="3">
        <f>E22-D22</f>
        <v>308.93785023024066</v>
      </c>
      <c r="F23" s="3">
        <f>F22-E22</f>
        <v>324.38474274175223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5" customHeight="1" x14ac:dyDescent="0.15">
      <c r="A24" s="3" t="s">
        <v>183</v>
      </c>
      <c r="B24" s="3">
        <f>B20+B18-B21-B23</f>
        <v>3646.3578875367975</v>
      </c>
      <c r="C24" s="3">
        <f>C20+C18-C21-C23</f>
        <v>4680.8714836643767</v>
      </c>
      <c r="D24" s="3">
        <f>D20+D18-D21-D23</f>
        <v>4904.0561184906583</v>
      </c>
      <c r="E24" s="3">
        <f>E20+E18-E21-E23</f>
        <v>5089.7974232207398</v>
      </c>
      <c r="F24" s="3">
        <f>F20+F18-F21-F23</f>
        <v>5220.6480496857594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5" customHeight="1" x14ac:dyDescent="0.15">
      <c r="A25" s="3" t="s">
        <v>254</v>
      </c>
      <c r="B25" s="3">
        <f>1/(1+B12)^1</f>
        <v>0.88105726872246692</v>
      </c>
      <c r="C25" s="3">
        <f>1/(1+B12)^2</f>
        <v>0.77626191076869333</v>
      </c>
      <c r="D25" s="3">
        <f>1/(1+B12)^3</f>
        <v>0.68393119891514842</v>
      </c>
      <c r="E25" s="3">
        <f>1/(1+B12)^4</f>
        <v>0.60258255411026285</v>
      </c>
      <c r="F25" s="3">
        <f>1/(1+B12)^5</f>
        <v>0.53090973930419638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" customHeight="1" x14ac:dyDescent="0.15">
      <c r="A26" s="3" t="s">
        <v>255</v>
      </c>
      <c r="B26" s="3">
        <f>B24*B25</f>
        <v>3212.650121177795</v>
      </c>
      <c r="C26" s="3">
        <f>C24*C25</f>
        <v>3633.5822419719975</v>
      </c>
      <c r="D26" s="3">
        <f>D24*D25</f>
        <v>3354.0369806664849</v>
      </c>
      <c r="E26" s="3">
        <f>E24*E25</f>
        <v>3067.023131188188</v>
      </c>
      <c r="F26" s="3">
        <f>F24*F25</f>
        <v>2771.692895057628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5" customHeight="1" x14ac:dyDescent="0.15">
      <c r="A32" s="24" t="s">
        <v>336</v>
      </c>
      <c r="B32" s="33"/>
      <c r="C32" s="33"/>
      <c r="D32" s="33"/>
      <c r="E32" s="33"/>
      <c r="F32" s="33"/>
      <c r="G32" s="3"/>
      <c r="H32" s="24" t="s">
        <v>337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5" customHeight="1" x14ac:dyDescent="0.15">
      <c r="A33" s="5" t="s">
        <v>89</v>
      </c>
      <c r="B33" s="5" t="s">
        <v>80</v>
      </c>
      <c r="C33" s="5" t="s">
        <v>81</v>
      </c>
      <c r="D33" s="5" t="s">
        <v>82</v>
      </c>
      <c r="E33" s="5" t="s">
        <v>83</v>
      </c>
      <c r="F33" s="5" t="s">
        <v>84</v>
      </c>
      <c r="G33" s="3"/>
      <c r="H33" s="5" t="s">
        <v>334</v>
      </c>
      <c r="I33" s="5">
        <f>F43</f>
        <v>8208.4132477333369</v>
      </c>
      <c r="J33" s="3"/>
      <c r="K33" s="3"/>
      <c r="L33" s="3"/>
      <c r="M33" s="3"/>
      <c r="N33" s="3"/>
      <c r="O33" s="3"/>
      <c r="P33" s="3"/>
      <c r="Q33" s="3"/>
      <c r="R33" s="3"/>
    </row>
    <row r="34" spans="1:18" ht="15" customHeight="1" x14ac:dyDescent="0.15">
      <c r="A34" s="3" t="s">
        <v>96</v>
      </c>
      <c r="B34" s="3">
        <f>Forecast!B3*(1+C3)</f>
        <v>138714.03700000001</v>
      </c>
      <c r="C34" s="3">
        <f>B34*(1+C4)</f>
        <v>152585.44070000004</v>
      </c>
      <c r="D34" s="3">
        <f>C34*(1+C5)</f>
        <v>166318.13036300006</v>
      </c>
      <c r="E34" s="3">
        <f>D34*(1+C6)</f>
        <v>179623.58079204007</v>
      </c>
      <c r="F34" s="3">
        <f>E34*(1+C7)</f>
        <v>192197.23144748289</v>
      </c>
      <c r="G34" s="3"/>
      <c r="H34" s="3" t="s">
        <v>256</v>
      </c>
      <c r="I34" s="3">
        <f>F43*(1+C13)/(C12-C13)</f>
        <v>95409.750724189333</v>
      </c>
      <c r="J34" s="3"/>
      <c r="K34" s="3"/>
      <c r="L34" s="3"/>
      <c r="M34" s="3"/>
      <c r="N34" s="3"/>
      <c r="O34" s="3"/>
      <c r="P34" s="3"/>
      <c r="Q34" s="3"/>
      <c r="R34" s="3"/>
    </row>
    <row r="35" spans="1:18" ht="15" customHeight="1" x14ac:dyDescent="0.15">
      <c r="A35" s="3" t="s">
        <v>87</v>
      </c>
      <c r="B35" s="11">
        <f>Assumptions!B21</f>
        <v>0.10199999999999999</v>
      </c>
      <c r="C35" s="11">
        <f>Assumptions!C21</f>
        <v>0.104</v>
      </c>
      <c r="D35" s="11">
        <f>Assumptions!D21</f>
        <v>0.106</v>
      </c>
      <c r="E35" s="11">
        <f>Assumptions!E21</f>
        <v>0.108</v>
      </c>
      <c r="F35" s="11">
        <f>Assumptions!F21</f>
        <v>0.11</v>
      </c>
      <c r="G35" s="3"/>
      <c r="H35" s="3" t="s">
        <v>335</v>
      </c>
      <c r="I35" s="3">
        <f>I34*F44</f>
        <v>51905.144826152224</v>
      </c>
      <c r="J35" s="3"/>
      <c r="K35" s="3"/>
      <c r="L35" s="3"/>
      <c r="M35" s="3"/>
      <c r="N35" s="3"/>
      <c r="O35" s="3"/>
      <c r="P35" s="3"/>
      <c r="Q35" s="3"/>
      <c r="R35" s="3"/>
    </row>
    <row r="36" spans="1:18" ht="15" customHeight="1" x14ac:dyDescent="0.15">
      <c r="A36" s="3" t="s">
        <v>119</v>
      </c>
      <c r="B36" s="3">
        <f>B34*B35</f>
        <v>14148.831774</v>
      </c>
      <c r="C36" s="3">
        <f>C34*C35</f>
        <v>15868.885832800002</v>
      </c>
      <c r="D36" s="3">
        <f>D34*D35</f>
        <v>17629.721818478007</v>
      </c>
      <c r="E36" s="3">
        <f>E34*E35</f>
        <v>19399.346725540327</v>
      </c>
      <c r="F36" s="3">
        <f>F34*F35</f>
        <v>21141.69545922312</v>
      </c>
      <c r="G36" s="3"/>
      <c r="H36" s="3" t="s">
        <v>258</v>
      </c>
      <c r="I36" s="3">
        <f>SUM(B45:F45)+I35</f>
        <v>74274.029067788579</v>
      </c>
      <c r="J36" s="3"/>
      <c r="K36" s="3"/>
      <c r="L36" s="3"/>
      <c r="M36" s="3"/>
      <c r="N36" s="3"/>
      <c r="O36" s="3"/>
      <c r="P36" s="3"/>
      <c r="Q36" s="3"/>
      <c r="R36" s="3"/>
    </row>
    <row r="37" spans="1:18" ht="15" customHeight="1" x14ac:dyDescent="0.15">
      <c r="A37" s="3" t="s">
        <v>122</v>
      </c>
      <c r="B37" s="3">
        <f>B34*C9</f>
        <v>5132.4193690000002</v>
      </c>
      <c r="C37" s="3">
        <f>C34*C9</f>
        <v>5645.661305900001</v>
      </c>
      <c r="D37" s="3">
        <f>D34*C9</f>
        <v>6153.7708234310021</v>
      </c>
      <c r="E37" s="3">
        <f>E34*C9</f>
        <v>6646.0724893054821</v>
      </c>
      <c r="F37" s="3">
        <f>F34*C9</f>
        <v>7111.2975635568664</v>
      </c>
      <c r="G37" s="3"/>
      <c r="H37" s="3" t="s">
        <v>261</v>
      </c>
      <c r="I37" s="3">
        <f>I36-WACC!B13+'Historical Financials'!G15</f>
        <v>65895.029067788579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ht="15" customHeight="1" x14ac:dyDescent="0.15">
      <c r="A38" s="3" t="s">
        <v>124</v>
      </c>
      <c r="B38" s="3">
        <f>B36-B37</f>
        <v>9016.4124049999991</v>
      </c>
      <c r="C38" s="3">
        <f>C36-C37</f>
        <v>10223.224526900001</v>
      </c>
      <c r="D38" s="3">
        <f>D36-D37</f>
        <v>11475.950995047006</v>
      </c>
      <c r="E38" s="3">
        <f>E36-E37</f>
        <v>12753.274236234844</v>
      </c>
      <c r="F38" s="3">
        <f>F36-F37</f>
        <v>14030.397895666254</v>
      </c>
      <c r="G38" s="3"/>
      <c r="H38" s="3" t="s">
        <v>263</v>
      </c>
      <c r="I38" s="8">
        <f>I37/Assumptions!B15</f>
        <v>62.433452489044974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ht="15" customHeight="1" x14ac:dyDescent="0.15">
      <c r="A39" s="3" t="s">
        <v>179</v>
      </c>
      <c r="B39" s="3">
        <f>B38*(1-Assumptions!B10)</f>
        <v>6545.9154060299988</v>
      </c>
      <c r="C39" s="3">
        <f>C38*(1-Assumptions!B10)</f>
        <v>7422.0610065294004</v>
      </c>
      <c r="D39" s="3">
        <f>D38*(1-Assumptions!B10)</f>
        <v>8331.5404224041249</v>
      </c>
      <c r="E39" s="3">
        <f>E38*(1-Assumptions!B10)</f>
        <v>9258.8770955064956</v>
      </c>
      <c r="F39" s="3">
        <f>F38*(1-Assumptions!B10)</f>
        <v>10186.0688722537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5" customHeight="1" x14ac:dyDescent="0.15">
      <c r="A40" s="3" t="s">
        <v>104</v>
      </c>
      <c r="B40" s="3">
        <f>B34*C10</f>
        <v>6242.1316649999999</v>
      </c>
      <c r="C40" s="3">
        <f>C34*C10</f>
        <v>6866.3448315000014</v>
      </c>
      <c r="D40" s="3">
        <f>D34*C10</f>
        <v>7484.3158663350023</v>
      </c>
      <c r="E40" s="3">
        <f>E34*C10</f>
        <v>8083.061135641803</v>
      </c>
      <c r="F40" s="3">
        <f>F34*C10</f>
        <v>8648.8754151367302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5" customHeight="1" x14ac:dyDescent="0.15">
      <c r="A41" s="3" t="s">
        <v>132</v>
      </c>
      <c r="B41" s="3">
        <f>B34*C11</f>
        <v>4854.9912950000007</v>
      </c>
      <c r="C41" s="3">
        <f>C34*C11</f>
        <v>5340.4904245000016</v>
      </c>
      <c r="D41" s="3">
        <f>D34*C11</f>
        <v>5821.1345627050023</v>
      </c>
      <c r="E41" s="3">
        <f>E34*C11</f>
        <v>6286.8253277214026</v>
      </c>
      <c r="F41" s="3">
        <f>F34*C11</f>
        <v>6726.9031006619016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5" customHeight="1" x14ac:dyDescent="0.15">
      <c r="A42" s="3" t="s">
        <v>182</v>
      </c>
      <c r="B42" s="3">
        <f>B41-Forecast!B12</f>
        <v>491.99129500000072</v>
      </c>
      <c r="C42" s="3">
        <f>C41-B41</f>
        <v>485.49912950000089</v>
      </c>
      <c r="D42" s="3">
        <f>D41-C41</f>
        <v>480.64413820500067</v>
      </c>
      <c r="E42" s="3">
        <f>E41-D41</f>
        <v>465.69076501640029</v>
      </c>
      <c r="F42" s="3">
        <f>F41-E41</f>
        <v>440.07777294049902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5" customHeight="1" x14ac:dyDescent="0.15">
      <c r="A43" s="3" t="s">
        <v>183</v>
      </c>
      <c r="B43" s="3">
        <f>B39+B37-B40-B42</f>
        <v>4944.2118150299975</v>
      </c>
      <c r="C43" s="3">
        <f>C39+C37-C40-C42</f>
        <v>5715.8783514293991</v>
      </c>
      <c r="D43" s="3">
        <f>D39+D37-D40-D42</f>
        <v>6520.351241295125</v>
      </c>
      <c r="E43" s="3">
        <f>E39+E37-E40-E42</f>
        <v>7356.1976841537735</v>
      </c>
      <c r="F43" s="3">
        <f>F39+F37-F40-F42</f>
        <v>8208.4132477333369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5" customHeight="1" x14ac:dyDescent="0.15">
      <c r="A44" s="3" t="s">
        <v>254</v>
      </c>
      <c r="B44" s="3">
        <f>1/(1+C12)^1</f>
        <v>0.88536740481103182</v>
      </c>
      <c r="C44" s="3">
        <f>1/(1+C12)^2</f>
        <v>0.78387544150182142</v>
      </c>
      <c r="D44" s="3">
        <f>1/(1+C12)^3</f>
        <v>0.69401776533756943</v>
      </c>
      <c r="E44" s="3">
        <f>1/(1+C12)^4</f>
        <v>0.61446070778967543</v>
      </c>
      <c r="F44" s="3">
        <f>1/(1+C12)^5</f>
        <v>0.54402348221409469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5" customHeight="1" x14ac:dyDescent="0.15">
      <c r="A45" s="3" t="s">
        <v>255</v>
      </c>
      <c r="B45" s="3">
        <f>B43*B44</f>
        <v>4377.4439835091498</v>
      </c>
      <c r="C45" s="3">
        <f>C43*C44</f>
        <v>4480.5366662974238</v>
      </c>
      <c r="D45" s="3">
        <f>D43*D44</f>
        <v>4525.2395976996895</v>
      </c>
      <c r="E45" s="3">
        <f>E43*E44</f>
        <v>4520.0944356458986</v>
      </c>
      <c r="F45" s="3">
        <f>F43*F44</f>
        <v>4465.569558484196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" customHeight="1" x14ac:dyDescent="0.15">
      <c r="A51" s="24" t="s">
        <v>338</v>
      </c>
      <c r="B51" s="33"/>
      <c r="C51" s="33"/>
      <c r="D51" s="33"/>
      <c r="E51" s="33"/>
      <c r="F51" s="33"/>
      <c r="G51" s="3"/>
      <c r="H51" s="24" t="s">
        <v>337</v>
      </c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5" customHeight="1" x14ac:dyDescent="0.15">
      <c r="A52" s="5" t="s">
        <v>89</v>
      </c>
      <c r="B52" s="5" t="s">
        <v>80</v>
      </c>
      <c r="C52" s="5" t="s">
        <v>81</v>
      </c>
      <c r="D52" s="5" t="s">
        <v>82</v>
      </c>
      <c r="E52" s="5" t="s">
        <v>83</v>
      </c>
      <c r="F52" s="5" t="s">
        <v>84</v>
      </c>
      <c r="G52" s="3"/>
      <c r="H52" s="5" t="s">
        <v>334</v>
      </c>
      <c r="I52" s="5">
        <f>F62</f>
        <v>9686.1138653281469</v>
      </c>
      <c r="J52" s="3"/>
      <c r="K52" s="3"/>
      <c r="L52" s="3"/>
      <c r="M52" s="3"/>
      <c r="N52" s="3"/>
      <c r="O52" s="3"/>
      <c r="P52" s="3"/>
      <c r="Q52" s="3"/>
      <c r="R52" s="3"/>
    </row>
    <row r="53" spans="1:18" ht="15" customHeight="1" x14ac:dyDescent="0.15">
      <c r="A53" s="3" t="s">
        <v>96</v>
      </c>
      <c r="B53" s="3">
        <f>Forecast!B3*(1+D3)</f>
        <v>141236.11040000001</v>
      </c>
      <c r="C53" s="3">
        <f>B53*(1+D4)</f>
        <v>156772.08254400003</v>
      </c>
      <c r="D53" s="3">
        <f>C53*(1+D5)</f>
        <v>172449.29079840006</v>
      </c>
      <c r="E53" s="3">
        <f>D53*(1+D6)</f>
        <v>187969.72697025607</v>
      </c>
      <c r="F53" s="3">
        <f>E53*(1+D7)</f>
        <v>203007.30512787658</v>
      </c>
      <c r="G53" s="3"/>
      <c r="H53" s="3" t="s">
        <v>256</v>
      </c>
      <c r="I53" s="3">
        <f>F62*(1+D13)/(D12-D13)</f>
        <v>134314.11226588362</v>
      </c>
      <c r="J53" s="3"/>
      <c r="K53" s="3"/>
      <c r="L53" s="3"/>
      <c r="M53" s="3"/>
      <c r="N53" s="3"/>
      <c r="O53" s="3"/>
      <c r="P53" s="3"/>
      <c r="Q53" s="3"/>
      <c r="R53" s="3"/>
    </row>
    <row r="54" spans="1:18" ht="15" customHeight="1" x14ac:dyDescent="0.15">
      <c r="A54" s="3" t="s">
        <v>87</v>
      </c>
      <c r="B54" s="38">
        <f>Forecast!C6</f>
        <v>0.10199999999999999</v>
      </c>
      <c r="C54" s="39">
        <f>D8-(D8-Forecast!C6)*(5-1)/4</f>
        <v>0.10199999999999999</v>
      </c>
      <c r="D54" s="39">
        <f>D8-(D8-Forecast!C6)*(5-2)/4</f>
        <v>0.10575</v>
      </c>
      <c r="E54" s="39">
        <f>D8-(D8-Forecast!C6)*(5-3)/4</f>
        <v>0.1095</v>
      </c>
      <c r="F54" s="39">
        <f>D8-(D8-Forecast!C6)*(5-4)/4</f>
        <v>0.11325</v>
      </c>
      <c r="G54" s="3"/>
      <c r="H54" s="3" t="s">
        <v>335</v>
      </c>
      <c r="I54" s="3">
        <f>I53*F63</f>
        <v>77937.650432842682</v>
      </c>
      <c r="J54" s="3"/>
      <c r="K54" s="3"/>
      <c r="L54" s="3"/>
      <c r="M54" s="3"/>
      <c r="N54" s="3"/>
      <c r="O54" s="3"/>
      <c r="P54" s="3"/>
      <c r="Q54" s="3"/>
      <c r="R54" s="3"/>
    </row>
    <row r="55" spans="1:18" ht="15" customHeight="1" x14ac:dyDescent="0.15">
      <c r="A55" s="3" t="s">
        <v>119</v>
      </c>
      <c r="B55" s="3">
        <f>B53*B54</f>
        <v>14406.0832608</v>
      </c>
      <c r="C55" s="3">
        <f>C53*C54</f>
        <v>15990.752419488002</v>
      </c>
      <c r="D55" s="3">
        <f>D53*D54</f>
        <v>18236.512501930807</v>
      </c>
      <c r="E55" s="3">
        <f>E53*E54</f>
        <v>20582.685103243039</v>
      </c>
      <c r="F55" s="3">
        <f>F53*F54</f>
        <v>22990.577305732022</v>
      </c>
      <c r="G55" s="3"/>
      <c r="H55" s="3" t="s">
        <v>258</v>
      </c>
      <c r="I55" s="3">
        <f>SUM(B64:F64)+I54</f>
        <v>104242.80454157025</v>
      </c>
      <c r="J55" s="3"/>
      <c r="K55" s="3"/>
      <c r="L55" s="3"/>
      <c r="M55" s="3"/>
      <c r="N55" s="3"/>
      <c r="O55" s="3"/>
      <c r="P55" s="3"/>
      <c r="Q55" s="3"/>
      <c r="R55" s="3"/>
    </row>
    <row r="56" spans="1:18" ht="15" customHeight="1" x14ac:dyDescent="0.15">
      <c r="A56" s="3" t="s">
        <v>122</v>
      </c>
      <c r="B56" s="3">
        <f>B53*D9</f>
        <v>5084.4999743999997</v>
      </c>
      <c r="C56" s="3">
        <f>C53*D9</f>
        <v>5643.7949715840005</v>
      </c>
      <c r="D56" s="3">
        <f>D53*D9</f>
        <v>6208.1744687424016</v>
      </c>
      <c r="E56" s="3">
        <f>E53*D9</f>
        <v>6766.9101709292181</v>
      </c>
      <c r="F56" s="3">
        <f>F53*D9</f>
        <v>7308.2629846035561</v>
      </c>
      <c r="G56" s="3"/>
      <c r="H56" s="3" t="s">
        <v>261</v>
      </c>
      <c r="I56" s="3">
        <f>I55-WACC!B13+'Historical Financials'!G15</f>
        <v>95863.804541570251</v>
      </c>
      <c r="J56" s="3"/>
      <c r="K56" s="3"/>
      <c r="L56" s="3"/>
      <c r="M56" s="3"/>
      <c r="N56" s="3"/>
      <c r="O56" s="3"/>
      <c r="P56" s="3"/>
      <c r="Q56" s="3"/>
      <c r="R56" s="3"/>
    </row>
    <row r="57" spans="1:18" ht="15" customHeight="1" x14ac:dyDescent="0.15">
      <c r="A57" s="3" t="s">
        <v>124</v>
      </c>
      <c r="B57" s="3">
        <f>B55-B56</f>
        <v>9321.5832864000004</v>
      </c>
      <c r="C57" s="3">
        <f>C55-C56</f>
        <v>10346.957447904002</v>
      </c>
      <c r="D57" s="3">
        <f>D55-D56</f>
        <v>12028.338033188405</v>
      </c>
      <c r="E57" s="3">
        <f>E55-E56</f>
        <v>13815.77493231382</v>
      </c>
      <c r="F57" s="3">
        <f>F55-F56</f>
        <v>15682.314321128466</v>
      </c>
      <c r="G57" s="3"/>
      <c r="H57" s="3" t="s">
        <v>263</v>
      </c>
      <c r="I57" s="8">
        <f>I56/Assumptions!B15</f>
        <v>90.827917840481177</v>
      </c>
      <c r="J57" s="3"/>
      <c r="K57" s="3"/>
      <c r="L57" s="3"/>
      <c r="M57" s="3"/>
      <c r="N57" s="3"/>
      <c r="O57" s="3"/>
      <c r="P57" s="3"/>
      <c r="Q57" s="3"/>
      <c r="R57" s="3"/>
    </row>
    <row r="58" spans="1:18" ht="15" customHeight="1" x14ac:dyDescent="0.15">
      <c r="A58" s="3" t="s">
        <v>179</v>
      </c>
      <c r="B58" s="3">
        <f>B57*(1-Assumptions!B10)</f>
        <v>6767.4694659264005</v>
      </c>
      <c r="C58" s="3">
        <f>C57*(1-Assumptions!B10)</f>
        <v>7511.891107178305</v>
      </c>
      <c r="D58" s="3">
        <f>D57*(1-Assumptions!B10)</f>
        <v>8732.5734120947818</v>
      </c>
      <c r="E58" s="3">
        <f>E57*(1-Assumptions!B10)</f>
        <v>10030.252600859832</v>
      </c>
      <c r="F58" s="3">
        <f>F57*(1-Assumptions!B10)</f>
        <v>11385.360197139265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5" customHeight="1" x14ac:dyDescent="0.15">
      <c r="A59" s="3" t="s">
        <v>104</v>
      </c>
      <c r="B59" s="3">
        <f>B53*D10</f>
        <v>5931.9166368000006</v>
      </c>
      <c r="C59" s="3">
        <f>C53*D10</f>
        <v>6584.427466848002</v>
      </c>
      <c r="D59" s="3">
        <f>D53*D10</f>
        <v>7242.8702135328031</v>
      </c>
      <c r="E59" s="3">
        <f>E53*D10</f>
        <v>7894.7285327507552</v>
      </c>
      <c r="F59" s="3">
        <f>F53*D10</f>
        <v>8526.3068153708173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5" customHeight="1" x14ac:dyDescent="0.15">
      <c r="A60" s="3" t="s">
        <v>132</v>
      </c>
      <c r="B60" s="3">
        <f>B53*D11</f>
        <v>4519.5555328</v>
      </c>
      <c r="C60" s="3">
        <f>C53*D11</f>
        <v>5016.7066414080009</v>
      </c>
      <c r="D60" s="3">
        <f>D53*D11</f>
        <v>5518.3773055488018</v>
      </c>
      <c r="E60" s="3">
        <f>E53*D11</f>
        <v>6015.0312630481949</v>
      </c>
      <c r="F60" s="3">
        <f>F53*D11</f>
        <v>6496.2337640920505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5" customHeight="1" x14ac:dyDescent="0.15">
      <c r="A61" s="3" t="s">
        <v>182</v>
      </c>
      <c r="B61" s="3">
        <f>B60-Forecast!B12</f>
        <v>156.55553280000004</v>
      </c>
      <c r="C61" s="3">
        <f>C60-B60</f>
        <v>497.15110860800087</v>
      </c>
      <c r="D61" s="3">
        <f>D60-C60</f>
        <v>501.67066414080091</v>
      </c>
      <c r="E61" s="3">
        <f>E60-D60</f>
        <v>496.65395749939307</v>
      </c>
      <c r="F61" s="3">
        <f>F60-E60</f>
        <v>481.20250104385559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5" customHeight="1" x14ac:dyDescent="0.15">
      <c r="A62" s="3" t="s">
        <v>183</v>
      </c>
      <c r="B62" s="3">
        <f>B58+B56-B59-B61</f>
        <v>5763.4972707263996</v>
      </c>
      <c r="C62" s="3">
        <f>C58+C56-C59-C61</f>
        <v>6074.1075033063016</v>
      </c>
      <c r="D62" s="3">
        <f>D58+D56-D59-D61</f>
        <v>7196.2070031635794</v>
      </c>
      <c r="E62" s="3">
        <f>E58+E56-E59-E61</f>
        <v>8405.7802815389023</v>
      </c>
      <c r="F62" s="3">
        <f>F58+F56-F59-F61</f>
        <v>9686.1138653281469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5" customHeight="1" x14ac:dyDescent="0.15">
      <c r="A63" s="3" t="s">
        <v>254</v>
      </c>
      <c r="B63" s="3">
        <f>1/(1+D12)^1</f>
        <v>0.89686098654708524</v>
      </c>
      <c r="C63" s="3">
        <f>1/(1+D12)^2</f>
        <v>0.80435962919021098</v>
      </c>
      <c r="D63" s="3">
        <f>1/(1+D12)^3</f>
        <v>0.72139877057418023</v>
      </c>
      <c r="E63" s="3">
        <f>1/(1+D12)^4</f>
        <v>0.64699441307101357</v>
      </c>
      <c r="F63" s="3">
        <f>1/(1+D12)^5</f>
        <v>0.58026404759732153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5" customHeight="1" x14ac:dyDescent="0.15">
      <c r="A64" s="3" t="s">
        <v>255</v>
      </c>
      <c r="B64" s="3">
        <f>B62*B63</f>
        <v>5169.0558481851122</v>
      </c>
      <c r="C64" s="3">
        <f>C62*C63</f>
        <v>4885.766859020935</v>
      </c>
      <c r="D64" s="3">
        <f>D62*D63</f>
        <v>5191.3348848795122</v>
      </c>
      <c r="E64" s="3">
        <f>E62*E63</f>
        <v>5438.4928796581617</v>
      </c>
      <c r="F64" s="3">
        <f>F62*F63</f>
        <v>5620.5036369838481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5" customHeight="1" x14ac:dyDescent="0.15">
      <c r="A70" s="24" t="s">
        <v>339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5" customHeight="1" x14ac:dyDescent="0.15">
      <c r="A71" s="3" t="s">
        <v>324</v>
      </c>
      <c r="B71" s="40">
        <f>Assumptions!B3</f>
        <v>162.71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5" customHeight="1" x14ac:dyDescent="0.15">
      <c r="A72" s="3" t="s">
        <v>340</v>
      </c>
      <c r="B72" s="40">
        <f>DCF!G15</f>
        <v>62.433452489044974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5" customHeight="1" x14ac:dyDescent="0.15">
      <c r="A73" s="3" t="s">
        <v>341</v>
      </c>
      <c r="B73" s="3">
        <f>B71/B72-1</f>
        <v>1.6061349086621517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5" customHeight="1" x14ac:dyDescent="0.15">
      <c r="A74" s="3" t="s">
        <v>328</v>
      </c>
      <c r="B74" s="25">
        <f>Assumptions!B16</f>
        <v>14.968032540585973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5" customHeight="1" x14ac:dyDescent="0.15">
      <c r="A75" s="3" t="s">
        <v>342</v>
      </c>
      <c r="B75" s="3">
        <f>DCF!B22</f>
        <v>9.5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5" customHeight="1" x14ac:dyDescent="0.15">
      <c r="A76" s="3" t="s">
        <v>24</v>
      </c>
      <c r="B76" s="1" t="s">
        <v>343</v>
      </c>
      <c r="C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5" customHeight="1" x14ac:dyDescent="0.15">
      <c r="A77" s="3"/>
      <c r="B77" s="1"/>
      <c r="C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</sheetData>
  <mergeCells count="2">
    <mergeCell ref="A1:H1"/>
    <mergeCell ref="B76:F77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8"/>
  <sheetViews>
    <sheetView showGridLines="0" zoomScale="69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5" sqref="H15"/>
    </sheetView>
  </sheetViews>
  <sheetFormatPr baseColWidth="10" defaultColWidth="8.6640625" defaultRowHeight="15" customHeight="1" x14ac:dyDescent="0.15"/>
  <cols>
    <col min="1" max="1" width="36" customWidth="1"/>
    <col min="2" max="3" width="25" customWidth="1"/>
    <col min="4" max="4" width="33" customWidth="1"/>
  </cols>
  <sheetData>
    <row r="1" spans="1:4" ht="25.5" customHeight="1" x14ac:dyDescent="0.15">
      <c r="A1" s="2" t="s">
        <v>344</v>
      </c>
      <c r="B1" s="2"/>
      <c r="C1" s="2"/>
      <c r="D1" s="2"/>
    </row>
    <row r="2" spans="1:4" ht="15" customHeight="1" x14ac:dyDescent="0.15">
      <c r="A2" s="3"/>
      <c r="B2" s="3"/>
      <c r="C2" s="3"/>
      <c r="D2" s="3"/>
    </row>
    <row r="3" spans="1:4" ht="15" customHeight="1" x14ac:dyDescent="0.15">
      <c r="A3" s="34" t="s">
        <v>345</v>
      </c>
      <c r="B3" s="34" t="s">
        <v>28</v>
      </c>
      <c r="C3" s="34" t="s">
        <v>29</v>
      </c>
      <c r="D3" s="34" t="s">
        <v>24</v>
      </c>
    </row>
    <row r="4" spans="1:4" ht="15" customHeight="1" x14ac:dyDescent="0.15">
      <c r="A4" s="3" t="s">
        <v>324</v>
      </c>
      <c r="B4" s="18">
        <v>160.69999999999999</v>
      </c>
      <c r="C4" s="3" t="s">
        <v>34</v>
      </c>
      <c r="D4" s="3" t="s">
        <v>346</v>
      </c>
    </row>
    <row r="5" spans="1:4" ht="15" customHeight="1" x14ac:dyDescent="0.15">
      <c r="A5" s="3" t="s">
        <v>347</v>
      </c>
      <c r="B5" s="18">
        <f>DCF!G15</f>
        <v>62.433452489044974</v>
      </c>
      <c r="C5" s="3" t="s">
        <v>34</v>
      </c>
      <c r="D5" s="3" t="s">
        <v>348</v>
      </c>
    </row>
    <row r="6" spans="1:4" ht="15" customHeight="1" x14ac:dyDescent="0.15">
      <c r="A6" s="3" t="s">
        <v>349</v>
      </c>
      <c r="B6" s="18">
        <f>'Scenario Analysis'!D8</f>
        <v>0.11700000000000001</v>
      </c>
      <c r="C6" s="3" t="s">
        <v>34</v>
      </c>
      <c r="D6" s="3" t="s">
        <v>350</v>
      </c>
    </row>
    <row r="7" spans="1:4" ht="15" customHeight="1" x14ac:dyDescent="0.15">
      <c r="A7" s="3" t="s">
        <v>351</v>
      </c>
      <c r="B7" s="18">
        <f>'Scenario Analysis'!B8</f>
        <v>9.8000000000000004E-2</v>
      </c>
      <c r="C7" s="3" t="s">
        <v>34</v>
      </c>
      <c r="D7" s="3" t="s">
        <v>352</v>
      </c>
    </row>
    <row r="8" spans="1:4" ht="15" customHeight="1" x14ac:dyDescent="0.15">
      <c r="A8" s="3" t="s">
        <v>353</v>
      </c>
      <c r="B8" s="16">
        <f>WACC!B16</f>
        <v>0.12947460519334886</v>
      </c>
      <c r="C8" s="3" t="s">
        <v>44</v>
      </c>
      <c r="D8" s="3" t="s">
        <v>230</v>
      </c>
    </row>
  </sheetData>
  <mergeCells count="1">
    <mergeCell ref="A1:D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7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E1"/>
    </sheetView>
  </sheetViews>
  <sheetFormatPr baseColWidth="10" defaultColWidth="8.6640625" defaultRowHeight="15" customHeight="1" x14ac:dyDescent="0.15"/>
  <cols>
    <col min="1" max="1" width="30" customWidth="1"/>
    <col min="2" max="3" width="42" customWidth="1"/>
    <col min="4" max="4" width="58" customWidth="1"/>
    <col min="5" max="5" width="48" customWidth="1"/>
  </cols>
  <sheetData>
    <row r="1" spans="1:5" ht="25.5" customHeight="1" x14ac:dyDescent="0.15">
      <c r="A1" s="2" t="s">
        <v>354</v>
      </c>
      <c r="B1" s="2"/>
      <c r="C1" s="2"/>
      <c r="D1" s="2"/>
      <c r="E1" s="2"/>
    </row>
    <row r="2" spans="1:5" ht="15" customHeight="1" x14ac:dyDescent="0.15">
      <c r="A2" s="5" t="s">
        <v>236</v>
      </c>
      <c r="B2" s="5" t="s">
        <v>355</v>
      </c>
      <c r="C2" s="5" t="s">
        <v>356</v>
      </c>
      <c r="D2" s="5" t="s">
        <v>357</v>
      </c>
      <c r="E2" s="5" t="s">
        <v>358</v>
      </c>
    </row>
    <row r="3" spans="1:5" ht="135.75" customHeight="1" x14ac:dyDescent="0.15">
      <c r="A3" s="17" t="s">
        <v>359</v>
      </c>
      <c r="B3" s="17" t="s">
        <v>360</v>
      </c>
      <c r="C3" s="17" t="s">
        <v>361</v>
      </c>
      <c r="D3" s="17" t="s">
        <v>362</v>
      </c>
      <c r="E3" s="17" t="s">
        <v>363</v>
      </c>
    </row>
    <row r="4" spans="1:5" ht="149.25" customHeight="1" x14ac:dyDescent="0.15">
      <c r="A4" s="17" t="s">
        <v>359</v>
      </c>
      <c r="B4" s="17" t="s">
        <v>364</v>
      </c>
      <c r="C4" s="17" t="s">
        <v>361</v>
      </c>
      <c r="D4" s="17" t="s">
        <v>365</v>
      </c>
      <c r="E4" s="17" t="s">
        <v>366</v>
      </c>
    </row>
    <row r="5" spans="1:5" ht="95.25" customHeight="1" x14ac:dyDescent="0.15">
      <c r="A5" s="17" t="s">
        <v>367</v>
      </c>
      <c r="B5" s="17" t="s">
        <v>368</v>
      </c>
      <c r="C5" s="17" t="s">
        <v>361</v>
      </c>
      <c r="D5" s="17" t="s">
        <v>369</v>
      </c>
      <c r="E5" s="17" t="s">
        <v>370</v>
      </c>
    </row>
    <row r="6" spans="1:5" ht="81.75" customHeight="1" x14ac:dyDescent="0.15">
      <c r="A6" s="17" t="s">
        <v>371</v>
      </c>
      <c r="B6" s="17" t="s">
        <v>372</v>
      </c>
      <c r="C6" s="17" t="s">
        <v>3</v>
      </c>
      <c r="D6" s="17" t="s">
        <v>373</v>
      </c>
      <c r="E6" s="17" t="s">
        <v>374</v>
      </c>
    </row>
    <row r="7" spans="1:5" ht="68.25" customHeight="1" x14ac:dyDescent="0.15">
      <c r="A7" s="17" t="s">
        <v>375</v>
      </c>
      <c r="B7" s="17" t="s">
        <v>45</v>
      </c>
      <c r="C7" s="17" t="s">
        <v>376</v>
      </c>
      <c r="D7" s="17" t="s">
        <v>377</v>
      </c>
      <c r="E7" s="17" t="s">
        <v>378</v>
      </c>
    </row>
    <row r="8" spans="1:5" ht="81.75" customHeight="1" x14ac:dyDescent="0.15">
      <c r="A8" s="17" t="s">
        <v>379</v>
      </c>
      <c r="B8" s="17" t="s">
        <v>380</v>
      </c>
      <c r="C8" s="17" t="s">
        <v>381</v>
      </c>
      <c r="D8" s="17" t="s">
        <v>203</v>
      </c>
      <c r="E8" s="17" t="s">
        <v>382</v>
      </c>
    </row>
    <row r="9" spans="1:5" ht="54.75" customHeight="1" x14ac:dyDescent="0.15">
      <c r="A9" s="17" t="s">
        <v>383</v>
      </c>
      <c r="B9" s="17" t="s">
        <v>237</v>
      </c>
      <c r="C9" s="17" t="s">
        <v>384</v>
      </c>
      <c r="D9" s="17" t="s">
        <v>385</v>
      </c>
      <c r="E9" s="17" t="s">
        <v>386</v>
      </c>
    </row>
    <row r="10" spans="1:5" ht="162" customHeight="1" x14ac:dyDescent="0.15">
      <c r="A10" s="17" t="s">
        <v>387</v>
      </c>
      <c r="B10" s="17" t="s">
        <v>239</v>
      </c>
      <c r="C10" s="17" t="s">
        <v>384</v>
      </c>
      <c r="D10" s="17" t="s">
        <v>385</v>
      </c>
      <c r="E10" s="17" t="s">
        <v>388</v>
      </c>
    </row>
    <row r="11" spans="1:5" ht="54.75" customHeight="1" x14ac:dyDescent="0.15">
      <c r="A11" s="17" t="s">
        <v>387</v>
      </c>
      <c r="B11" s="17" t="s">
        <v>241</v>
      </c>
      <c r="C11" s="17" t="s">
        <v>389</v>
      </c>
      <c r="D11" s="17" t="s">
        <v>390</v>
      </c>
      <c r="E11" s="17" t="s">
        <v>388</v>
      </c>
    </row>
    <row r="12" spans="1:5" ht="54.75" customHeight="1" x14ac:dyDescent="0.15">
      <c r="A12" s="17" t="s">
        <v>387</v>
      </c>
      <c r="B12" s="17" t="s">
        <v>243</v>
      </c>
      <c r="C12" s="17" t="s">
        <v>391</v>
      </c>
      <c r="D12" s="17" t="s">
        <v>385</v>
      </c>
      <c r="E12" s="17" t="s">
        <v>388</v>
      </c>
    </row>
    <row r="13" spans="1:5" ht="15" customHeight="1" x14ac:dyDescent="0.15">
      <c r="A13" s="3"/>
      <c r="B13" s="3"/>
      <c r="C13" s="3"/>
      <c r="D13" s="3"/>
      <c r="E13" s="3"/>
    </row>
    <row r="14" spans="1:5" ht="15" customHeight="1" x14ac:dyDescent="0.15">
      <c r="A14" s="3"/>
      <c r="B14" s="3"/>
      <c r="C14" s="3"/>
      <c r="D14" s="3"/>
      <c r="E14" s="3"/>
    </row>
    <row r="15" spans="1:5" ht="15" customHeight="1" x14ac:dyDescent="0.15">
      <c r="A15" s="3"/>
      <c r="B15" s="3"/>
      <c r="C15" s="3"/>
      <c r="D15" s="3"/>
      <c r="E15" s="3"/>
    </row>
    <row r="16" spans="1:5" ht="15" customHeight="1" x14ac:dyDescent="0.15">
      <c r="A16" s="3"/>
      <c r="B16" s="3"/>
      <c r="C16" s="3"/>
      <c r="D16" s="3"/>
      <c r="E16" s="3"/>
    </row>
    <row r="17" spans="1:5" ht="15" customHeight="1" x14ac:dyDescent="0.15">
      <c r="A17" s="3"/>
      <c r="B17" s="3"/>
      <c r="C17" s="3"/>
      <c r="D17" s="3"/>
      <c r="E17" s="3"/>
    </row>
  </sheetData>
  <autoFilter ref="A2:E17" xr:uid="{00000000-0009-0000-0000-00000F000000}"/>
  <mergeCells count="1">
    <mergeCell ref="A1:E1"/>
  </mergeCell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1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customHeight="1" x14ac:dyDescent="0.15"/>
  <cols>
    <col min="1" max="1" width="34" customWidth="1"/>
    <col min="2" max="4" width="20" customWidth="1"/>
  </cols>
  <sheetData>
    <row r="1" spans="1:4" ht="25.5" customHeight="1" x14ac:dyDescent="0.15">
      <c r="A1" s="2" t="s">
        <v>392</v>
      </c>
      <c r="B1" s="2"/>
      <c r="C1" s="2"/>
      <c r="D1" s="2"/>
    </row>
    <row r="2" spans="1:4" ht="15" customHeight="1" x14ac:dyDescent="0.15">
      <c r="A2" s="5" t="s">
        <v>393</v>
      </c>
      <c r="B2" s="5" t="s">
        <v>394</v>
      </c>
      <c r="C2" s="5" t="s">
        <v>395</v>
      </c>
      <c r="D2" s="5" t="s">
        <v>116</v>
      </c>
    </row>
    <row r="3" spans="1:4" ht="15" customHeight="1" x14ac:dyDescent="0.15">
      <c r="A3" s="3" t="s">
        <v>396</v>
      </c>
      <c r="B3" s="13" t="b">
        <f>Assumptions!B11&lt;WACC!B16</f>
        <v>1</v>
      </c>
      <c r="C3" s="3" t="str">
        <f>IF(B3,"PASS","FAIL")</f>
        <v>PASS</v>
      </c>
      <c r="D3" s="3" t="s">
        <v>397</v>
      </c>
    </row>
    <row r="4" spans="1:4" ht="15" customHeight="1" x14ac:dyDescent="0.15">
      <c r="A4" s="3" t="s">
        <v>398</v>
      </c>
      <c r="B4" s="13">
        <f>DCF!G10-DCF!G11+DCF!G12-DCF!G13</f>
        <v>0</v>
      </c>
      <c r="C4" s="3" t="str">
        <f>IF(ABS(B4)&lt;0.01,"PASS","FAIL")</f>
        <v>PASS</v>
      </c>
      <c r="D4" s="3" t="s">
        <v>399</v>
      </c>
    </row>
    <row r="5" spans="1:4" ht="15" customHeight="1" x14ac:dyDescent="0.15">
      <c r="A5" s="3" t="s">
        <v>400</v>
      </c>
      <c r="B5" s="13">
        <f>DCF!G14</f>
        <v>1055.4442601000001</v>
      </c>
      <c r="C5" s="3" t="str">
        <f>IF(B5&gt;0,"PASS","FAIL")</f>
        <v>PASS</v>
      </c>
      <c r="D5" s="3" t="s">
        <v>401</v>
      </c>
    </row>
    <row r="6" spans="1:4" ht="15" customHeight="1" x14ac:dyDescent="0.15">
      <c r="A6" s="3" t="s">
        <v>402</v>
      </c>
      <c r="B6" s="3">
        <f>Assumptions!B4-(Assumptions!B3*Assumptions!B15)</f>
        <v>0</v>
      </c>
      <c r="C6" s="3" t="str">
        <f>IF(ABS(B6)&lt;0.01,"PASS","FAIL")</f>
        <v>PASS</v>
      </c>
      <c r="D6" s="3" t="s">
        <v>403</v>
      </c>
    </row>
    <row r="7" spans="1:4" ht="15" customHeight="1" x14ac:dyDescent="0.15">
      <c r="A7" s="3" t="s">
        <v>404</v>
      </c>
      <c r="B7" s="3">
        <f>COUNT(Sensitivity!B4:F8)</f>
        <v>25</v>
      </c>
      <c r="C7" s="3" t="str">
        <f>IF(B7=25,"PASS","FAIL")</f>
        <v>PASS</v>
      </c>
      <c r="D7" s="3" t="s">
        <v>405</v>
      </c>
    </row>
    <row r="8" spans="1:4" ht="15" customHeight="1" x14ac:dyDescent="0.15">
      <c r="A8" s="3" t="s">
        <v>406</v>
      </c>
      <c r="B8" s="3" t="s">
        <v>407</v>
      </c>
      <c r="C8" s="3" t="s">
        <v>408</v>
      </c>
      <c r="D8" s="3" t="s">
        <v>409</v>
      </c>
    </row>
    <row r="9" spans="1:4" ht="15" customHeight="1" x14ac:dyDescent="0.15">
      <c r="A9" s="3" t="s">
        <v>410</v>
      </c>
      <c r="B9" s="3">
        <f>WACC!B27</f>
        <v>0.91882647868838052</v>
      </c>
      <c r="C9" s="3" t="str">
        <f>IF(AND(B9&gt;0,B9&lt;3),"PASS","REVIEW")</f>
        <v>PASS</v>
      </c>
      <c r="D9" s="3" t="s">
        <v>55</v>
      </c>
    </row>
    <row r="10" spans="1:4" ht="28" x14ac:dyDescent="0.15">
      <c r="A10" s="3" t="s">
        <v>411</v>
      </c>
      <c r="B10" s="3">
        <f>DCF!G15-Assumptions!B3</f>
        <v>-100.27654751095503</v>
      </c>
      <c r="C10" s="3" t="str">
        <f>IF(ISNUMBER(B10),"PASS","FAIL")</f>
        <v>PASS</v>
      </c>
      <c r="D10" s="3" t="s">
        <v>412</v>
      </c>
    </row>
    <row r="11" spans="1:4" ht="42" x14ac:dyDescent="0.15">
      <c r="A11" s="3" t="s">
        <v>413</v>
      </c>
      <c r="B11" s="3">
        <f>'Scenario Analysis'!I38-DCF!G15</f>
        <v>0</v>
      </c>
      <c r="C11" s="3" t="str">
        <f>IF(ABS(B11)&lt;0.01,"PASS","FAIL")</f>
        <v>PASS</v>
      </c>
      <c r="D11" s="3" t="s">
        <v>414</v>
      </c>
    </row>
  </sheetData>
  <autoFilter ref="A2:D11" xr:uid="{00000000-0009-0000-0000-000010000000}"/>
  <mergeCells count="1">
    <mergeCell ref="A1:D1"/>
  </mergeCells>
  <conditionalFormatting sqref="C3:C11">
    <cfRule type="cellIs" dxfId="1" priority="2" operator="equal">
      <formula>"PASS"</formula>
    </cfRule>
    <cfRule type="cellIs" dxfId="0" priority="3" operator="equal">
      <formula>"FAIL"</formula>
    </cfRule>
  </conditionalFormatting>
  <pageMargins left="0.25" right="0.25" top="0.5" bottom="0.5" header="0.511811023622047" footer="0.511811023622047"/>
  <pageSetup paperSize="9" fitToHeight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customHeight="1" x14ac:dyDescent="0.15"/>
  <cols>
    <col min="1" max="1" width="30" customWidth="1"/>
    <col min="2" max="4" width="42" customWidth="1"/>
  </cols>
  <sheetData>
    <row r="1" spans="1:4" ht="25.5" customHeight="1" x14ac:dyDescent="0.15">
      <c r="A1" s="5" t="s">
        <v>415</v>
      </c>
      <c r="B1" s="5" t="s">
        <v>416</v>
      </c>
      <c r="C1" s="5" t="s">
        <v>417</v>
      </c>
      <c r="D1" s="5" t="s">
        <v>395</v>
      </c>
    </row>
    <row r="2" spans="1:4" ht="15" customHeight="1" x14ac:dyDescent="0.15">
      <c r="A2" s="3" t="s">
        <v>418</v>
      </c>
      <c r="B2" s="25">
        <v>5643</v>
      </c>
      <c r="C2" s="25">
        <v>7516</v>
      </c>
      <c r="D2" s="3" t="s">
        <v>419</v>
      </c>
    </row>
    <row r="3" spans="1:4" ht="15" customHeight="1" x14ac:dyDescent="0.15">
      <c r="A3" s="3" t="s">
        <v>420</v>
      </c>
      <c r="B3" s="25">
        <v>6286</v>
      </c>
      <c r="C3" s="25">
        <v>11284</v>
      </c>
      <c r="D3" s="3" t="s">
        <v>419</v>
      </c>
    </row>
    <row r="4" spans="1:4" ht="15" customHeight="1" x14ac:dyDescent="0.15">
      <c r="A4" s="3" t="s">
        <v>421</v>
      </c>
      <c r="B4" s="25">
        <v>12124</v>
      </c>
      <c r="C4" s="25">
        <v>12033</v>
      </c>
      <c r="D4" s="3" t="s">
        <v>419</v>
      </c>
    </row>
    <row r="5" spans="1:4" ht="15" customHeight="1" x14ac:dyDescent="0.15">
      <c r="A5" s="3" t="s">
        <v>422</v>
      </c>
      <c r="B5" s="25">
        <v>4413.6400000000003</v>
      </c>
      <c r="C5" s="25">
        <v>4363</v>
      </c>
      <c r="D5" s="3" t="s">
        <v>419</v>
      </c>
    </row>
    <row r="6" spans="1:4" ht="15" customHeight="1" x14ac:dyDescent="0.15">
      <c r="A6" s="3" t="s">
        <v>262</v>
      </c>
      <c r="B6" s="25">
        <v>1054.1319000000001</v>
      </c>
      <c r="C6" s="25">
        <v>1055.4442601000001</v>
      </c>
      <c r="D6" s="3" t="s">
        <v>419</v>
      </c>
    </row>
    <row r="7" spans="1:4" ht="15" customHeight="1" x14ac:dyDescent="0.15">
      <c r="A7" s="3" t="s">
        <v>423</v>
      </c>
      <c r="B7" s="25">
        <v>714702</v>
      </c>
      <c r="C7" s="25">
        <v>71066</v>
      </c>
      <c r="D7" s="3" t="s">
        <v>419</v>
      </c>
    </row>
    <row r="8" spans="1:4" ht="15" customHeight="1" x14ac:dyDescent="0.15">
      <c r="A8" s="3" t="s">
        <v>424</v>
      </c>
      <c r="B8" s="25">
        <v>742805</v>
      </c>
      <c r="C8" s="25">
        <v>73876</v>
      </c>
      <c r="D8" s="3" t="s">
        <v>419</v>
      </c>
    </row>
    <row r="9" spans="1:4" ht="15" customHeight="1" x14ac:dyDescent="0.15">
      <c r="A9" s="3" t="s">
        <v>425</v>
      </c>
      <c r="B9" s="25">
        <v>0.85</v>
      </c>
      <c r="C9" s="25">
        <v>0.85</v>
      </c>
      <c r="D9" s="3" t="s">
        <v>426</v>
      </c>
    </row>
    <row r="10" spans="1:4" ht="15" customHeight="1" x14ac:dyDescent="0.15">
      <c r="A10" s="3" t="s">
        <v>63</v>
      </c>
      <c r="B10" s="25">
        <v>0.04</v>
      </c>
      <c r="C10" s="25">
        <v>0.04</v>
      </c>
      <c r="D10" s="3" t="s">
        <v>427</v>
      </c>
    </row>
    <row r="11" spans="1:4" ht="15" customHeight="1" x14ac:dyDescent="0.15">
      <c r="A11" s="3" t="s">
        <v>269</v>
      </c>
      <c r="B11" s="3" t="s">
        <v>428</v>
      </c>
      <c r="C11" s="3" t="s">
        <v>429</v>
      </c>
      <c r="D11" s="3" t="s">
        <v>430</v>
      </c>
    </row>
    <row r="12" spans="1:4" ht="15" customHeight="1" x14ac:dyDescent="0.15">
      <c r="A12" s="3" t="s">
        <v>431</v>
      </c>
      <c r="B12" s="25">
        <v>12124</v>
      </c>
      <c r="C12" s="25">
        <v>12033</v>
      </c>
      <c r="D12" s="3" t="s">
        <v>419</v>
      </c>
    </row>
    <row r="13" spans="1:4" ht="15" customHeight="1" x14ac:dyDescent="0.15">
      <c r="A13" s="3" t="s">
        <v>432</v>
      </c>
      <c r="B13" s="25">
        <v>5000</v>
      </c>
      <c r="C13" s="25">
        <v>5133.8500000000004</v>
      </c>
      <c r="D13" s="3" t="s">
        <v>419</v>
      </c>
    </row>
    <row r="14" spans="1:4" ht="57" customHeight="1" x14ac:dyDescent="0.15">
      <c r="A14" s="3" t="s">
        <v>433</v>
      </c>
      <c r="B14" s="25">
        <v>160.69999999999999</v>
      </c>
      <c r="C14" s="40">
        <f>Assumptions!B3</f>
        <v>162.71</v>
      </c>
      <c r="D14" s="3" t="s">
        <v>434</v>
      </c>
    </row>
    <row r="15" spans="1:4" ht="57" customHeight="1" x14ac:dyDescent="0.15">
      <c r="A15" s="3" t="s">
        <v>425</v>
      </c>
      <c r="B15" s="25">
        <v>0.85</v>
      </c>
      <c r="C15" s="3">
        <f>WACC!B27</f>
        <v>0.91882647868838052</v>
      </c>
      <c r="D15" s="3" t="s">
        <v>435</v>
      </c>
    </row>
    <row r="16" spans="1:4" ht="23.25" customHeight="1" x14ac:dyDescent="0.15">
      <c r="A16" s="3" t="s">
        <v>436</v>
      </c>
      <c r="B16" s="3" t="s">
        <v>437</v>
      </c>
      <c r="C16" s="3" t="s">
        <v>438</v>
      </c>
      <c r="D16" s="3" t="s">
        <v>439</v>
      </c>
    </row>
    <row r="17" spans="1:4" ht="28" x14ac:dyDescent="0.15">
      <c r="A17" s="3" t="s">
        <v>440</v>
      </c>
      <c r="B17" s="3" t="s">
        <v>441</v>
      </c>
      <c r="C17" s="3" t="s">
        <v>442</v>
      </c>
      <c r="D17" s="3" t="s">
        <v>419</v>
      </c>
    </row>
    <row r="18" spans="1:4" ht="28" x14ac:dyDescent="0.15">
      <c r="A18" s="3" t="s">
        <v>77</v>
      </c>
      <c r="B18" s="3" t="s">
        <v>443</v>
      </c>
      <c r="C18" s="3" t="s">
        <v>444</v>
      </c>
      <c r="D18" s="3" t="s">
        <v>419</v>
      </c>
    </row>
    <row r="19" spans="1:4" ht="14" x14ac:dyDescent="0.15">
      <c r="A19" s="3" t="s">
        <v>445</v>
      </c>
      <c r="B19" s="3" t="s">
        <v>446</v>
      </c>
      <c r="C19" s="3" t="s">
        <v>447</v>
      </c>
      <c r="D19" s="3" t="s">
        <v>448</v>
      </c>
    </row>
    <row r="20" spans="1:4" ht="14" x14ac:dyDescent="0.15">
      <c r="A20" s="3" t="s">
        <v>449</v>
      </c>
      <c r="B20" s="3" t="s">
        <v>450</v>
      </c>
      <c r="C20" s="3" t="s">
        <v>451</v>
      </c>
      <c r="D20" s="3" t="s">
        <v>448</v>
      </c>
    </row>
    <row r="21" spans="1:4" ht="14" x14ac:dyDescent="0.15">
      <c r="A21" s="3" t="s">
        <v>452</v>
      </c>
      <c r="B21" s="3" t="s">
        <v>453</v>
      </c>
      <c r="C21" s="3" t="s">
        <v>454</v>
      </c>
      <c r="D21" s="3" t="s">
        <v>448</v>
      </c>
    </row>
  </sheetData>
  <autoFilter ref="A1:D21" xr:uid="{00000000-0009-0000-0000-000011000000}"/>
  <pageMargins left="0.25" right="0.25" top="0.5" bottom="0.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Assumptions</vt:lpstr>
      <vt:lpstr>Historical Financials</vt:lpstr>
      <vt:lpstr>Income Statement</vt:lpstr>
      <vt:lpstr>Balance Sheet</vt:lpstr>
      <vt:lpstr>Cash Flow</vt:lpstr>
      <vt:lpstr>Operating Drivers</vt:lpstr>
      <vt:lpstr>Forecast</vt:lpstr>
      <vt:lpstr>FCFF</vt:lpstr>
      <vt:lpstr>WACC</vt:lpstr>
      <vt:lpstr>DCF</vt:lpstr>
      <vt:lpstr>Sensitivity</vt:lpstr>
      <vt:lpstr>Comparable Companies</vt:lpstr>
      <vt:lpstr>Scenario Analysis</vt:lpstr>
      <vt:lpstr>Charts Dashboard</vt:lpstr>
      <vt:lpstr>Sources</vt:lpstr>
      <vt:lpstr>Checks</vt:lpstr>
      <vt:lpstr>Update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Shivansh Bali</cp:lastModifiedBy>
  <dcterms:modified xsi:type="dcterms:W3CDTF">2026-09-10T17:44:03Z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2026-09-09T15:51:57Z</dcterms:created>
  <dc:creator>openpyxl</dc:creator>
  <dc:description/>
  <dc:language>en-US</dc:language>
  <cp:lastModifiedBy/>
  <dcterms:modified xsi:type="dcterms:W3CDTF">2026-09-10T14:42:59Z</dcterms:modified>
  <cp:revision>0</cp:revision>
  <dc:subject/>
  <dc:title/>
</cp:coreProperties>
</file>